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Experiments\PDF\"/>
    </mc:Choice>
  </mc:AlternateContent>
  <xr:revisionPtr revIDLastSave="0" documentId="13_ncr:1_{A7AD1027-93B3-4117-A0C0-9A195D5D2B1A}" xr6:coauthVersionLast="47" xr6:coauthVersionMax="47" xr10:uidLastSave="{00000000-0000-0000-0000-000000000000}"/>
  <bookViews>
    <workbookView xWindow="-120" yWindow="-120" windowWidth="29040" windowHeight="16440" activeTab="11" xr2:uid="{00000000-000D-0000-FFFF-FFFF00000000}"/>
  </bookViews>
  <sheets>
    <sheet name="Tau" sheetId="8" r:id="rId1"/>
    <sheet name="Calcs" sheetId="14" r:id="rId2"/>
    <sheet name="20,0.1" sheetId="3" r:id="rId3"/>
    <sheet name="20,0.2" sheetId="4" r:id="rId4"/>
    <sheet name="20,0.3" sheetId="5" r:id="rId5"/>
    <sheet name="20,0.4" sheetId="6" r:id="rId6"/>
    <sheet name="20,0.5" sheetId="7" r:id="rId7"/>
    <sheet name="37,0.1" sheetId="9" r:id="rId8"/>
    <sheet name="37,0.2" sheetId="10" r:id="rId9"/>
    <sheet name="37,0.3" sheetId="11" r:id="rId10"/>
    <sheet name="37,0.4" sheetId="12" r:id="rId11"/>
    <sheet name="37,0.5" sheetId="13" r:id="rId12"/>
    <sheet name="Uncertainty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7" i="13" l="1"/>
  <c r="F38" i="13" s="1"/>
  <c r="D38" i="13"/>
  <c r="L37" i="13"/>
  <c r="L38" i="13" s="1"/>
  <c r="K37" i="13"/>
  <c r="K38" i="13" s="1"/>
  <c r="J37" i="13"/>
  <c r="J38" i="13" s="1"/>
  <c r="I37" i="13"/>
  <c r="I38" i="13" s="1"/>
  <c r="H37" i="13"/>
  <c r="H38" i="13" s="1"/>
  <c r="G37" i="13"/>
  <c r="G38" i="13" s="1"/>
  <c r="E37" i="13"/>
  <c r="E38" i="13" s="1"/>
  <c r="D37" i="13"/>
  <c r="C37" i="13"/>
  <c r="C38" i="13" s="1"/>
  <c r="J38" i="12"/>
  <c r="D38" i="12"/>
  <c r="C38" i="12"/>
  <c r="L37" i="12"/>
  <c r="L38" i="12" s="1"/>
  <c r="K37" i="12"/>
  <c r="K38" i="12" s="1"/>
  <c r="J37" i="12"/>
  <c r="I37" i="12"/>
  <c r="I38" i="12" s="1"/>
  <c r="H37" i="12"/>
  <c r="H38" i="12" s="1"/>
  <c r="G37" i="12"/>
  <c r="G38" i="12" s="1"/>
  <c r="F37" i="12"/>
  <c r="F38" i="12" s="1"/>
  <c r="E37" i="12"/>
  <c r="E38" i="12" s="1"/>
  <c r="D37" i="12"/>
  <c r="C37" i="12"/>
  <c r="H38" i="11"/>
  <c r="F38" i="11"/>
  <c r="C38" i="11"/>
  <c r="L37" i="11"/>
  <c r="L38" i="11" s="1"/>
  <c r="K37" i="11"/>
  <c r="K38" i="11" s="1"/>
  <c r="J37" i="11"/>
  <c r="J38" i="11" s="1"/>
  <c r="I37" i="11"/>
  <c r="I38" i="11" s="1"/>
  <c r="H37" i="11"/>
  <c r="G37" i="11"/>
  <c r="G38" i="11" s="1"/>
  <c r="F37" i="11"/>
  <c r="E37" i="11"/>
  <c r="E38" i="11" s="1"/>
  <c r="D37" i="11"/>
  <c r="D38" i="11" s="1"/>
  <c r="C37" i="11"/>
  <c r="J38" i="10"/>
  <c r="D38" i="10"/>
  <c r="C38" i="10"/>
  <c r="L37" i="10"/>
  <c r="L38" i="10" s="1"/>
  <c r="K37" i="10"/>
  <c r="K38" i="10" s="1"/>
  <c r="J37" i="10"/>
  <c r="I37" i="10"/>
  <c r="I38" i="10" s="1"/>
  <c r="H37" i="10"/>
  <c r="H38" i="10" s="1"/>
  <c r="G37" i="10"/>
  <c r="G38" i="10" s="1"/>
  <c r="F37" i="10"/>
  <c r="F38" i="10" s="1"/>
  <c r="E37" i="10"/>
  <c r="E38" i="10" s="1"/>
  <c r="D37" i="10"/>
  <c r="C37" i="10"/>
  <c r="F38" i="9"/>
  <c r="E38" i="9"/>
  <c r="D38" i="9"/>
  <c r="C38" i="9"/>
  <c r="L37" i="9"/>
  <c r="L38" i="9" s="1"/>
  <c r="K37" i="9"/>
  <c r="K38" i="9" s="1"/>
  <c r="J37" i="9"/>
  <c r="J38" i="9" s="1"/>
  <c r="I37" i="9"/>
  <c r="I38" i="9" s="1"/>
  <c r="H37" i="9"/>
  <c r="H38" i="9" s="1"/>
  <c r="G37" i="9"/>
  <c r="G38" i="9" s="1"/>
  <c r="F37" i="9"/>
  <c r="E37" i="9"/>
  <c r="D37" i="9"/>
  <c r="C37" i="9"/>
  <c r="D38" i="7"/>
  <c r="L37" i="7"/>
  <c r="L38" i="7" s="1"/>
  <c r="K37" i="7"/>
  <c r="K38" i="7" s="1"/>
  <c r="J37" i="7"/>
  <c r="J38" i="7" s="1"/>
  <c r="I37" i="7"/>
  <c r="I38" i="7" s="1"/>
  <c r="H37" i="7"/>
  <c r="H38" i="7" s="1"/>
  <c r="G37" i="7"/>
  <c r="G38" i="7" s="1"/>
  <c r="F37" i="7"/>
  <c r="F38" i="7" s="1"/>
  <c r="E37" i="7"/>
  <c r="E38" i="7" s="1"/>
  <c r="D37" i="7"/>
  <c r="C37" i="7"/>
  <c r="C38" i="7" s="1"/>
  <c r="F38" i="6"/>
  <c r="E38" i="6"/>
  <c r="C38" i="6"/>
  <c r="L37" i="6"/>
  <c r="L38" i="6" s="1"/>
  <c r="K37" i="6"/>
  <c r="K38" i="6" s="1"/>
  <c r="J37" i="6"/>
  <c r="J38" i="6" s="1"/>
  <c r="I37" i="6"/>
  <c r="I38" i="6" s="1"/>
  <c r="H37" i="6"/>
  <c r="H38" i="6" s="1"/>
  <c r="G37" i="6"/>
  <c r="G38" i="6" s="1"/>
  <c r="F37" i="6"/>
  <c r="E37" i="6"/>
  <c r="D37" i="6"/>
  <c r="D38" i="6" s="1"/>
  <c r="C37" i="6"/>
  <c r="G38" i="5"/>
  <c r="E38" i="5"/>
  <c r="D38" i="5"/>
  <c r="L37" i="5"/>
  <c r="L38" i="5" s="1"/>
  <c r="K37" i="5"/>
  <c r="K38" i="5" s="1"/>
  <c r="J37" i="5"/>
  <c r="J38" i="5" s="1"/>
  <c r="I37" i="5"/>
  <c r="I38" i="5" s="1"/>
  <c r="H37" i="5"/>
  <c r="H38" i="5" s="1"/>
  <c r="G37" i="5"/>
  <c r="F37" i="5"/>
  <c r="F38" i="5" s="1"/>
  <c r="E37" i="5"/>
  <c r="D37" i="5"/>
  <c r="C37" i="5"/>
  <c r="C38" i="5" s="1"/>
  <c r="I38" i="4"/>
  <c r="E38" i="4"/>
  <c r="L37" i="4"/>
  <c r="L38" i="4" s="1"/>
  <c r="K37" i="4"/>
  <c r="K38" i="4" s="1"/>
  <c r="J37" i="4"/>
  <c r="J38" i="4" s="1"/>
  <c r="I37" i="4"/>
  <c r="H37" i="4"/>
  <c r="H38" i="4" s="1"/>
  <c r="G37" i="4"/>
  <c r="G38" i="4" s="1"/>
  <c r="F37" i="4"/>
  <c r="F38" i="4" s="1"/>
  <c r="E37" i="4"/>
  <c r="D37" i="4"/>
  <c r="D38" i="4" s="1"/>
  <c r="C37" i="4"/>
  <c r="C38" i="4" s="1"/>
  <c r="F38" i="3"/>
  <c r="F37" i="3"/>
  <c r="L37" i="3"/>
  <c r="L38" i="3" s="1"/>
  <c r="K37" i="3"/>
  <c r="K38" i="3" s="1"/>
  <c r="J37" i="3"/>
  <c r="J38" i="3" s="1"/>
  <c r="I37" i="3"/>
  <c r="I38" i="3" s="1"/>
  <c r="H37" i="3"/>
  <c r="H38" i="3" s="1"/>
  <c r="G37" i="3"/>
  <c r="G38" i="3" s="1"/>
  <c r="E37" i="3"/>
  <c r="E38" i="3" s="1"/>
  <c r="D37" i="3"/>
  <c r="D38" i="3" s="1"/>
  <c r="C37" i="3"/>
  <c r="C38" i="3" s="1"/>
  <c r="C39" i="14"/>
  <c r="F39" i="14"/>
  <c r="N15" i="14" l="1"/>
  <c r="G22" i="14"/>
  <c r="R15" i="14" s="1"/>
  <c r="Q15" i="14"/>
  <c r="P15" i="14"/>
  <c r="O15" i="14"/>
  <c r="U15" i="14"/>
  <c r="T15" i="14"/>
  <c r="S15" i="14"/>
  <c r="C22" i="14"/>
  <c r="E22" i="14"/>
  <c r="D22" i="14"/>
  <c r="C18" i="14"/>
  <c r="C19" i="14"/>
  <c r="J22" i="14" l="1"/>
  <c r="I22" i="14"/>
  <c r="H22" i="14"/>
  <c r="F22" i="14"/>
  <c r="H19" i="15"/>
  <c r="H18" i="15"/>
  <c r="G18" i="15"/>
  <c r="F18" i="15"/>
  <c r="E18" i="15"/>
  <c r="D18" i="15"/>
  <c r="C18" i="15"/>
  <c r="E25" i="8"/>
  <c r="V6" i="8"/>
  <c r="V5" i="8"/>
  <c r="U5" i="8"/>
  <c r="S4" i="8"/>
  <c r="S3" i="8"/>
  <c r="U6" i="8" s="1"/>
  <c r="E24" i="8"/>
  <c r="C22" i="8"/>
  <c r="C6" i="8"/>
  <c r="C5" i="8"/>
  <c r="C4" i="8"/>
  <c r="E4" i="8"/>
  <c r="E3" i="8"/>
  <c r="D5" i="8"/>
  <c r="D4" i="8"/>
  <c r="C3" i="8"/>
  <c r="H11" i="15"/>
  <c r="H10" i="15"/>
  <c r="I5" i="15"/>
  <c r="K28" i="15" l="1"/>
  <c r="J28" i="15"/>
  <c r="I28" i="15"/>
  <c r="H57" i="15"/>
  <c r="H65" i="15"/>
  <c r="H67" i="15"/>
  <c r="E69" i="15" s="1"/>
  <c r="G69" i="15"/>
  <c r="I32" i="15"/>
  <c r="I31" i="15"/>
  <c r="I30" i="15"/>
  <c r="I29" i="15"/>
  <c r="K32" i="15"/>
  <c r="J32" i="15"/>
  <c r="K31" i="15"/>
  <c r="J31" i="15"/>
  <c r="K30" i="15"/>
  <c r="J30" i="15"/>
  <c r="K29" i="15"/>
  <c r="J29" i="15"/>
  <c r="H66" i="15"/>
  <c r="H64" i="15"/>
  <c r="H56" i="15"/>
  <c r="D65" i="15"/>
  <c r="C65" i="15"/>
  <c r="D64" i="15"/>
  <c r="C64" i="15"/>
  <c r="D57" i="15"/>
  <c r="C57" i="15"/>
  <c r="D56" i="15"/>
  <c r="C56" i="15"/>
  <c r="E46" i="15"/>
  <c r="H46" i="15"/>
  <c r="G46" i="15"/>
  <c r="H44" i="15"/>
  <c r="H43" i="15"/>
  <c r="H42" i="15"/>
  <c r="E42" i="15"/>
  <c r="D42" i="15"/>
  <c r="C42" i="15"/>
  <c r="H41" i="15"/>
  <c r="E41" i="15"/>
  <c r="D41" i="15"/>
  <c r="C41" i="15"/>
  <c r="H34" i="15"/>
  <c r="E34" i="15"/>
  <c r="D34" i="15"/>
  <c r="C34" i="15"/>
  <c r="H33" i="15"/>
  <c r="E33" i="15"/>
  <c r="D33" i="15"/>
  <c r="C33" i="15"/>
  <c r="H69" i="15" l="1"/>
  <c r="J53" i="15" s="1"/>
  <c r="I53" i="15" l="1"/>
  <c r="I52" i="15"/>
  <c r="J51" i="15"/>
  <c r="J52" i="15"/>
  <c r="I51" i="15"/>
  <c r="J55" i="15"/>
  <c r="I55" i="15"/>
  <c r="J54" i="15"/>
  <c r="I54" i="15"/>
  <c r="K35" i="13" l="1"/>
  <c r="K32" i="13"/>
  <c r="K29" i="13"/>
  <c r="K26" i="13"/>
  <c r="K23" i="13"/>
  <c r="K9" i="13"/>
  <c r="K18" i="13" s="1"/>
  <c r="K35" i="12"/>
  <c r="K32" i="12"/>
  <c r="K29" i="12"/>
  <c r="K26" i="12"/>
  <c r="K23" i="12"/>
  <c r="K14" i="12"/>
  <c r="K9" i="12"/>
  <c r="K18" i="12" s="1"/>
  <c r="K35" i="11"/>
  <c r="K32" i="11"/>
  <c r="K29" i="11"/>
  <c r="K26" i="11"/>
  <c r="K23" i="11"/>
  <c r="K9" i="11"/>
  <c r="K18" i="11" s="1"/>
  <c r="K35" i="10"/>
  <c r="K32" i="10"/>
  <c r="K29" i="10"/>
  <c r="K26" i="10"/>
  <c r="K23" i="10"/>
  <c r="K9" i="10"/>
  <c r="K18" i="10" s="1"/>
  <c r="K20" i="13" l="1"/>
  <c r="K19" i="13"/>
  <c r="K16" i="13"/>
  <c r="K14" i="13"/>
  <c r="K20" i="12"/>
  <c r="K19" i="12"/>
  <c r="K16" i="12"/>
  <c r="K20" i="11"/>
  <c r="K19" i="11"/>
  <c r="K14" i="11"/>
  <c r="K16" i="11"/>
  <c r="K20" i="10"/>
  <c r="K19" i="10"/>
  <c r="K14" i="10"/>
  <c r="K16" i="10"/>
  <c r="I35" i="12" l="1"/>
  <c r="I32" i="12"/>
  <c r="I29" i="12"/>
  <c r="I26" i="12"/>
  <c r="I23" i="12"/>
  <c r="I9" i="12"/>
  <c r="I18" i="12" s="1"/>
  <c r="I35" i="10"/>
  <c r="I32" i="10"/>
  <c r="I29" i="10"/>
  <c r="I26" i="10"/>
  <c r="I23" i="10"/>
  <c r="I9" i="10"/>
  <c r="I18" i="10" s="1"/>
  <c r="I20" i="12" l="1"/>
  <c r="I19" i="12"/>
  <c r="I14" i="12"/>
  <c r="I16" i="12"/>
  <c r="I20" i="10"/>
  <c r="I19" i="10"/>
  <c r="I14" i="10"/>
  <c r="I16" i="10"/>
  <c r="H35" i="13" l="1"/>
  <c r="H32" i="13"/>
  <c r="H29" i="13"/>
  <c r="H26" i="13"/>
  <c r="H23" i="13"/>
  <c r="H9" i="13"/>
  <c r="H18" i="13" s="1"/>
  <c r="H35" i="10"/>
  <c r="H32" i="10"/>
  <c r="H29" i="10"/>
  <c r="H26" i="10"/>
  <c r="H23" i="10"/>
  <c r="H18" i="10"/>
  <c r="H20" i="10" s="1"/>
  <c r="H14" i="10"/>
  <c r="H9" i="10"/>
  <c r="H16" i="10" s="1"/>
  <c r="H20" i="13" l="1"/>
  <c r="H19" i="13"/>
  <c r="H14" i="13"/>
  <c r="H16" i="13"/>
  <c r="H19" i="10"/>
  <c r="G35" i="12" l="1"/>
  <c r="G32" i="12"/>
  <c r="G29" i="12"/>
  <c r="G26" i="12"/>
  <c r="G23" i="12"/>
  <c r="G9" i="12"/>
  <c r="G18" i="12" s="1"/>
  <c r="G35" i="10"/>
  <c r="G32" i="10"/>
  <c r="G29" i="10"/>
  <c r="G26" i="10"/>
  <c r="G23" i="10"/>
  <c r="G16" i="10"/>
  <c r="G14" i="10"/>
  <c r="G9" i="10"/>
  <c r="G18" i="10" s="1"/>
  <c r="G20" i="12" l="1"/>
  <c r="G19" i="12"/>
  <c r="G14" i="12"/>
  <c r="G16" i="12"/>
  <c r="G20" i="10"/>
  <c r="G19" i="10"/>
  <c r="E23" i="15" l="1"/>
  <c r="H21" i="15"/>
  <c r="H20" i="15"/>
  <c r="H23" i="15" s="1"/>
  <c r="G10" i="15"/>
  <c r="F10" i="15"/>
  <c r="E10" i="15"/>
  <c r="D10" i="15"/>
  <c r="C10" i="15"/>
  <c r="G19" i="15"/>
  <c r="F19" i="15"/>
  <c r="E19" i="15"/>
  <c r="D19" i="15"/>
  <c r="C19" i="15"/>
  <c r="G11" i="15"/>
  <c r="F11" i="15"/>
  <c r="E11" i="15"/>
  <c r="D11" i="15"/>
  <c r="C11" i="15"/>
  <c r="J35" i="13"/>
  <c r="J32" i="13"/>
  <c r="J29" i="13"/>
  <c r="J26" i="13"/>
  <c r="J23" i="13"/>
  <c r="J9" i="13"/>
  <c r="J18" i="13" s="1"/>
  <c r="J35" i="11"/>
  <c r="J32" i="11"/>
  <c r="J29" i="11"/>
  <c r="J26" i="11"/>
  <c r="J23" i="11"/>
  <c r="J9" i="11"/>
  <c r="J18" i="11" s="1"/>
  <c r="J35" i="10"/>
  <c r="J32" i="10"/>
  <c r="J29" i="10"/>
  <c r="J26" i="10"/>
  <c r="J23" i="10"/>
  <c r="J9" i="10"/>
  <c r="J18" i="10" s="1"/>
  <c r="G23" i="15" l="1"/>
  <c r="M9" i="15" s="1"/>
  <c r="J20" i="13"/>
  <c r="J19" i="13"/>
  <c r="J14" i="13"/>
  <c r="J16" i="13"/>
  <c r="J20" i="11"/>
  <c r="J19" i="11"/>
  <c r="J14" i="11"/>
  <c r="J16" i="11"/>
  <c r="J20" i="10"/>
  <c r="J19" i="10"/>
  <c r="J14" i="10"/>
  <c r="J16" i="10"/>
  <c r="K7" i="15" l="1"/>
  <c r="I7" i="15"/>
  <c r="J7" i="15"/>
  <c r="I6" i="15"/>
  <c r="M6" i="15"/>
  <c r="L9" i="15"/>
  <c r="L6" i="15"/>
  <c r="K9" i="15"/>
  <c r="K6" i="15"/>
  <c r="J9" i="15"/>
  <c r="J6" i="15"/>
  <c r="M8" i="15"/>
  <c r="M5" i="15"/>
  <c r="L8" i="15"/>
  <c r="L5" i="15"/>
  <c r="K8" i="15"/>
  <c r="K5" i="15"/>
  <c r="J8" i="15"/>
  <c r="J5" i="15"/>
  <c r="M7" i="15"/>
  <c r="I9" i="15"/>
  <c r="L7" i="15"/>
  <c r="I8" i="15"/>
  <c r="F35" i="13" l="1"/>
  <c r="F32" i="13"/>
  <c r="F29" i="13"/>
  <c r="F26" i="13"/>
  <c r="F23" i="13"/>
  <c r="F9" i="13"/>
  <c r="F18" i="13" s="1"/>
  <c r="F35" i="12"/>
  <c r="F32" i="12"/>
  <c r="F29" i="12"/>
  <c r="F26" i="12"/>
  <c r="F23" i="12"/>
  <c r="F9" i="12"/>
  <c r="F18" i="12" s="1"/>
  <c r="F35" i="11"/>
  <c r="F32" i="11"/>
  <c r="F29" i="11"/>
  <c r="F26" i="11"/>
  <c r="F23" i="11"/>
  <c r="F9" i="11"/>
  <c r="F18" i="11" s="1"/>
  <c r="F35" i="10"/>
  <c r="F32" i="10"/>
  <c r="F29" i="10"/>
  <c r="F26" i="10"/>
  <c r="F23" i="10"/>
  <c r="F9" i="10"/>
  <c r="F18" i="10" s="1"/>
  <c r="F20" i="13" l="1"/>
  <c r="F19" i="13"/>
  <c r="F14" i="13"/>
  <c r="F16" i="13"/>
  <c r="F20" i="12"/>
  <c r="F19" i="12"/>
  <c r="F14" i="12"/>
  <c r="F16" i="12"/>
  <c r="F20" i="11"/>
  <c r="F19" i="11"/>
  <c r="F14" i="11"/>
  <c r="F16" i="11"/>
  <c r="F20" i="10"/>
  <c r="F19" i="10"/>
  <c r="F14" i="10"/>
  <c r="F16" i="10"/>
  <c r="E35" i="12" l="1"/>
  <c r="E32" i="12"/>
  <c r="E29" i="12"/>
  <c r="E26" i="12"/>
  <c r="E23" i="12"/>
  <c r="E35" i="10"/>
  <c r="E32" i="10"/>
  <c r="E29" i="10"/>
  <c r="E26" i="10"/>
  <c r="E23" i="10"/>
  <c r="C35" i="12" l="1"/>
  <c r="C32" i="12"/>
  <c r="C29" i="12"/>
  <c r="C26" i="12"/>
  <c r="C23" i="12"/>
  <c r="C35" i="10"/>
  <c r="C32" i="10"/>
  <c r="C29" i="10"/>
  <c r="C26" i="10"/>
  <c r="C23" i="10"/>
  <c r="L9" i="13" l="1"/>
  <c r="I9" i="13"/>
  <c r="G9" i="13"/>
  <c r="E9" i="13"/>
  <c r="D9" i="13"/>
  <c r="C9" i="13"/>
  <c r="L9" i="12"/>
  <c r="J9" i="12"/>
  <c r="H9" i="12"/>
  <c r="E9" i="12"/>
  <c r="D9" i="12"/>
  <c r="C9" i="12"/>
  <c r="L9" i="11"/>
  <c r="I9" i="11"/>
  <c r="H9" i="11"/>
  <c r="G9" i="11"/>
  <c r="E9" i="11"/>
  <c r="D9" i="11"/>
  <c r="C9" i="11"/>
  <c r="L9" i="10"/>
  <c r="E9" i="10"/>
  <c r="D9" i="10"/>
  <c r="C9" i="10"/>
  <c r="L9" i="9"/>
  <c r="K9" i="9"/>
  <c r="J9" i="9"/>
  <c r="I9" i="9"/>
  <c r="H9" i="9"/>
  <c r="G9" i="9"/>
  <c r="F9" i="9"/>
  <c r="E9" i="9"/>
  <c r="D9" i="9"/>
  <c r="C9" i="9"/>
  <c r="C19" i="7"/>
  <c r="C18" i="7"/>
  <c r="K35" i="7"/>
  <c r="K32" i="7"/>
  <c r="K29" i="7"/>
  <c r="K26" i="7"/>
  <c r="K23" i="7"/>
  <c r="K35" i="6"/>
  <c r="K32" i="6"/>
  <c r="K29" i="6"/>
  <c r="K26" i="6"/>
  <c r="K23" i="6"/>
  <c r="K35" i="5"/>
  <c r="K32" i="5"/>
  <c r="K29" i="5"/>
  <c r="K26" i="5"/>
  <c r="K23" i="5"/>
  <c r="K35" i="4"/>
  <c r="K32" i="4"/>
  <c r="K29" i="4"/>
  <c r="K26" i="4"/>
  <c r="K23" i="4"/>
  <c r="I35" i="6"/>
  <c r="I32" i="6"/>
  <c r="I29" i="6"/>
  <c r="I26" i="6"/>
  <c r="I23" i="6"/>
  <c r="I35" i="4"/>
  <c r="I32" i="4"/>
  <c r="I29" i="4"/>
  <c r="I26" i="4"/>
  <c r="I23" i="4"/>
  <c r="H35" i="7"/>
  <c r="H32" i="7"/>
  <c r="H29" i="7"/>
  <c r="H26" i="7"/>
  <c r="H23" i="7"/>
  <c r="H35" i="4"/>
  <c r="H32" i="4"/>
  <c r="H29" i="4"/>
  <c r="H26" i="4"/>
  <c r="H23" i="4"/>
  <c r="G35" i="6"/>
  <c r="G32" i="6"/>
  <c r="G29" i="6"/>
  <c r="G26" i="6"/>
  <c r="G23" i="6"/>
  <c r="G35" i="4"/>
  <c r="G32" i="4"/>
  <c r="G29" i="4"/>
  <c r="G26" i="4"/>
  <c r="G23" i="4"/>
  <c r="J35" i="7"/>
  <c r="J32" i="7"/>
  <c r="J29" i="7"/>
  <c r="J26" i="7"/>
  <c r="J23" i="7"/>
  <c r="J35" i="5"/>
  <c r="J32" i="5"/>
  <c r="J29" i="5"/>
  <c r="J26" i="5"/>
  <c r="J23" i="5"/>
  <c r="J35" i="4"/>
  <c r="J32" i="4"/>
  <c r="J29" i="4"/>
  <c r="J26" i="4"/>
  <c r="J23" i="4"/>
  <c r="F35" i="7"/>
  <c r="F32" i="7"/>
  <c r="F29" i="7"/>
  <c r="F26" i="7"/>
  <c r="F23" i="7"/>
  <c r="F35" i="6"/>
  <c r="F32" i="6"/>
  <c r="F29" i="6"/>
  <c r="F26" i="6"/>
  <c r="F23" i="6"/>
  <c r="F35" i="5"/>
  <c r="F32" i="5"/>
  <c r="F29" i="5"/>
  <c r="F26" i="5"/>
  <c r="F23" i="5"/>
  <c r="F35" i="4"/>
  <c r="F32" i="4"/>
  <c r="F29" i="4"/>
  <c r="F26" i="4"/>
  <c r="F23" i="4"/>
  <c r="E35" i="6"/>
  <c r="E32" i="6"/>
  <c r="E29" i="6"/>
  <c r="E26" i="6"/>
  <c r="E23" i="6"/>
  <c r="E35" i="4"/>
  <c r="E32" i="4"/>
  <c r="E29" i="4"/>
  <c r="E26" i="4"/>
  <c r="E23" i="4"/>
  <c r="C35" i="6" l="1"/>
  <c r="C32" i="6"/>
  <c r="C29" i="6"/>
  <c r="C26" i="6"/>
  <c r="C23" i="6"/>
  <c r="C35" i="4"/>
  <c r="C32" i="4"/>
  <c r="C29" i="4"/>
  <c r="C26" i="4"/>
  <c r="C23" i="4"/>
  <c r="B43" i="14" l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L39" i="14"/>
  <c r="L40" i="14" s="1"/>
  <c r="K39" i="14"/>
  <c r="K42" i="14" s="1"/>
  <c r="J39" i="14"/>
  <c r="J40" i="14" s="1"/>
  <c r="I39" i="14"/>
  <c r="I42" i="14" s="1"/>
  <c r="H39" i="14"/>
  <c r="H42" i="14" s="1"/>
  <c r="G39" i="14"/>
  <c r="F42" i="14"/>
  <c r="E39" i="14"/>
  <c r="D39" i="14"/>
  <c r="D40" i="14" s="1"/>
  <c r="C40" i="14"/>
  <c r="L37" i="14"/>
  <c r="K37" i="14"/>
  <c r="J37" i="14"/>
  <c r="I37" i="14"/>
  <c r="H37" i="14"/>
  <c r="G37" i="14"/>
  <c r="F37" i="14"/>
  <c r="E37" i="14"/>
  <c r="D37" i="14"/>
  <c r="C37" i="14"/>
  <c r="L34" i="14"/>
  <c r="K34" i="14"/>
  <c r="J34" i="14"/>
  <c r="I34" i="14"/>
  <c r="H34" i="14"/>
  <c r="G34" i="14"/>
  <c r="F34" i="14"/>
  <c r="E34" i="14"/>
  <c r="D34" i="14"/>
  <c r="C34" i="14"/>
  <c r="L31" i="14"/>
  <c r="K31" i="14"/>
  <c r="J31" i="14"/>
  <c r="I31" i="14"/>
  <c r="H31" i="14"/>
  <c r="G31" i="14"/>
  <c r="F31" i="14"/>
  <c r="E31" i="14"/>
  <c r="D31" i="14"/>
  <c r="C31" i="14"/>
  <c r="L28" i="14"/>
  <c r="K28" i="14"/>
  <c r="J28" i="14"/>
  <c r="I28" i="14"/>
  <c r="H28" i="14"/>
  <c r="G28" i="14"/>
  <c r="F28" i="14"/>
  <c r="E28" i="14"/>
  <c r="D28" i="14"/>
  <c r="C28" i="14"/>
  <c r="L25" i="14"/>
  <c r="K25" i="14"/>
  <c r="J25" i="14"/>
  <c r="I25" i="14"/>
  <c r="H25" i="14"/>
  <c r="G25" i="14"/>
  <c r="F25" i="14"/>
  <c r="E25" i="14"/>
  <c r="D25" i="14"/>
  <c r="C25" i="14"/>
  <c r="F14" i="14"/>
  <c r="D14" i="14"/>
  <c r="C14" i="14"/>
  <c r="L9" i="14"/>
  <c r="L18" i="14" s="1"/>
  <c r="L20" i="14" s="1"/>
  <c r="K9" i="14"/>
  <c r="K18" i="14" s="1"/>
  <c r="J9" i="14"/>
  <c r="J18" i="14" s="1"/>
  <c r="J20" i="14" s="1"/>
  <c r="I9" i="14"/>
  <c r="H9" i="14"/>
  <c r="H18" i="14" s="1"/>
  <c r="G9" i="14"/>
  <c r="F9" i="14"/>
  <c r="F18" i="14" s="1"/>
  <c r="F19" i="14" s="1"/>
  <c r="E9" i="14"/>
  <c r="E14" i="14" s="1"/>
  <c r="D9" i="14"/>
  <c r="C9" i="14"/>
  <c r="C20" i="14" s="1"/>
  <c r="P6" i="14"/>
  <c r="O6" i="14"/>
  <c r="N6" i="14"/>
  <c r="P5" i="14"/>
  <c r="O5" i="14"/>
  <c r="N5" i="14"/>
  <c r="P4" i="14"/>
  <c r="O4" i="14"/>
  <c r="N4" i="14"/>
  <c r="O4" i="9"/>
  <c r="P4" i="9"/>
  <c r="P5" i="9"/>
  <c r="C16" i="14" l="1"/>
  <c r="E16" i="14"/>
  <c r="F16" i="14"/>
  <c r="J16" i="14"/>
  <c r="K16" i="14"/>
  <c r="H16" i="14"/>
  <c r="L16" i="14"/>
  <c r="H14" i="14"/>
  <c r="E18" i="14"/>
  <c r="J14" i="14"/>
  <c r="K14" i="14"/>
  <c r="L14" i="14"/>
  <c r="J19" i="14"/>
  <c r="L19" i="14"/>
  <c r="F20" i="14"/>
  <c r="L42" i="14"/>
  <c r="L43" i="14" s="1"/>
  <c r="L44" i="14" s="1"/>
  <c r="L45" i="14" s="1"/>
  <c r="L46" i="14" s="1"/>
  <c r="L47" i="14" s="1"/>
  <c r="L48" i="14" s="1"/>
  <c r="L49" i="14" s="1"/>
  <c r="L50" i="14" s="1"/>
  <c r="L51" i="14" s="1"/>
  <c r="L52" i="14" s="1"/>
  <c r="L53" i="14" s="1"/>
  <c r="L54" i="14" s="1"/>
  <c r="L55" i="14" s="1"/>
  <c r="L56" i="14" s="1"/>
  <c r="L57" i="14" s="1"/>
  <c r="L58" i="14" s="1"/>
  <c r="L59" i="14" s="1"/>
  <c r="L60" i="14" s="1"/>
  <c r="L61" i="14" s="1"/>
  <c r="L62" i="14" s="1"/>
  <c r="L63" i="14" s="1"/>
  <c r="L64" i="14" s="1"/>
  <c r="L65" i="14" s="1"/>
  <c r="L66" i="14" s="1"/>
  <c r="L67" i="14" s="1"/>
  <c r="L68" i="14" s="1"/>
  <c r="L69" i="14" s="1"/>
  <c r="L70" i="14" s="1"/>
  <c r="L71" i="14" s="1"/>
  <c r="L72" i="14" s="1"/>
  <c r="L73" i="14" s="1"/>
  <c r="L74" i="14" s="1"/>
  <c r="L75" i="14" s="1"/>
  <c r="L76" i="14" s="1"/>
  <c r="L77" i="14" s="1"/>
  <c r="L78" i="14" s="1"/>
  <c r="L79" i="14" s="1"/>
  <c r="L80" i="14" s="1"/>
  <c r="L81" i="14" s="1"/>
  <c r="L82" i="14" s="1"/>
  <c r="L83" i="14" s="1"/>
  <c r="L84" i="14" s="1"/>
  <c r="L85" i="14" s="1"/>
  <c r="L86" i="14" s="1"/>
  <c r="L87" i="14" s="1"/>
  <c r="L88" i="14" s="1"/>
  <c r="L89" i="14" s="1"/>
  <c r="L90" i="14" s="1"/>
  <c r="L91" i="14" s="1"/>
  <c r="L92" i="14" s="1"/>
  <c r="L93" i="14" s="1"/>
  <c r="L94" i="14" s="1"/>
  <c r="L95" i="14" s="1"/>
  <c r="L96" i="14" s="1"/>
  <c r="L97" i="14" s="1"/>
  <c r="L98" i="14" s="1"/>
  <c r="L99" i="14" s="1"/>
  <c r="L100" i="14" s="1"/>
  <c r="L101" i="14" s="1"/>
  <c r="L102" i="14" s="1"/>
  <c r="L103" i="14" s="1"/>
  <c r="L104" i="14" s="1"/>
  <c r="L105" i="14" s="1"/>
  <c r="L106" i="14" s="1"/>
  <c r="L107" i="14" s="1"/>
  <c r="L108" i="14" s="1"/>
  <c r="L109" i="14" s="1"/>
  <c r="L110" i="14" s="1"/>
  <c r="L111" i="14" s="1"/>
  <c r="L112" i="14" s="1"/>
  <c r="L113" i="14" s="1"/>
  <c r="L114" i="14" s="1"/>
  <c r="L115" i="14" s="1"/>
  <c r="L116" i="14" s="1"/>
  <c r="L117" i="14" s="1"/>
  <c r="L118" i="14" s="1"/>
  <c r="L119" i="14" s="1"/>
  <c r="L120" i="14" s="1"/>
  <c r="L121" i="14" s="1"/>
  <c r="L122" i="14" s="1"/>
  <c r="L123" i="14" s="1"/>
  <c r="L124" i="14" s="1"/>
  <c r="L125" i="14" s="1"/>
  <c r="L126" i="14" s="1"/>
  <c r="L127" i="14" s="1"/>
  <c r="L128" i="14" s="1"/>
  <c r="L129" i="14" s="1"/>
  <c r="L130" i="14" s="1"/>
  <c r="L131" i="14" s="1"/>
  <c r="L132" i="14" s="1"/>
  <c r="L133" i="14" s="1"/>
  <c r="L134" i="14" s="1"/>
  <c r="L135" i="14" s="1"/>
  <c r="L136" i="14" s="1"/>
  <c r="L137" i="14" s="1"/>
  <c r="L138" i="14" s="1"/>
  <c r="L139" i="14" s="1"/>
  <c r="L140" i="14" s="1"/>
  <c r="L141" i="14" s="1"/>
  <c r="L142" i="14" s="1"/>
  <c r="L143" i="14" s="1"/>
  <c r="L144" i="14" s="1"/>
  <c r="L145" i="14" s="1"/>
  <c r="L146" i="14" s="1"/>
  <c r="L147" i="14" s="1"/>
  <c r="L148" i="14" s="1"/>
  <c r="L149" i="14" s="1"/>
  <c r="L150" i="14" s="1"/>
  <c r="L151" i="14" s="1"/>
  <c r="L152" i="14" s="1"/>
  <c r="L153" i="14" s="1"/>
  <c r="L154" i="14" s="1"/>
  <c r="L155" i="14" s="1"/>
  <c r="L156" i="14" s="1"/>
  <c r="L157" i="14" s="1"/>
  <c r="L158" i="14" s="1"/>
  <c r="L159" i="14" s="1"/>
  <c r="L160" i="14" s="1"/>
  <c r="L161" i="14" s="1"/>
  <c r="L162" i="14" s="1"/>
  <c r="L163" i="14" s="1"/>
  <c r="L164" i="14" s="1"/>
  <c r="L165" i="14" s="1"/>
  <c r="L166" i="14" s="1"/>
  <c r="L167" i="14" s="1"/>
  <c r="L168" i="14" s="1"/>
  <c r="L169" i="14" s="1"/>
  <c r="L170" i="14" s="1"/>
  <c r="L171" i="14" s="1"/>
  <c r="L172" i="14" s="1"/>
  <c r="L173" i="14" s="1"/>
  <c r="L174" i="14" s="1"/>
  <c r="L175" i="14" s="1"/>
  <c r="L176" i="14" s="1"/>
  <c r="L177" i="14" s="1"/>
  <c r="L178" i="14" s="1"/>
  <c r="L179" i="14" s="1"/>
  <c r="L180" i="14" s="1"/>
  <c r="L181" i="14" s="1"/>
  <c r="L182" i="14" s="1"/>
  <c r="L183" i="14" s="1"/>
  <c r="L184" i="14" s="1"/>
  <c r="L185" i="14" s="1"/>
  <c r="L186" i="14" s="1"/>
  <c r="L187" i="14" s="1"/>
  <c r="L188" i="14" s="1"/>
  <c r="L189" i="14" s="1"/>
  <c r="L190" i="14" s="1"/>
  <c r="L191" i="14" s="1"/>
  <c r="L192" i="14" s="1"/>
  <c r="L193" i="14" s="1"/>
  <c r="L194" i="14" s="1"/>
  <c r="L195" i="14" s="1"/>
  <c r="L196" i="14" s="1"/>
  <c r="L197" i="14" s="1"/>
  <c r="L198" i="14" s="1"/>
  <c r="L199" i="14" s="1"/>
  <c r="L200" i="14" s="1"/>
  <c r="L201" i="14" s="1"/>
  <c r="L202" i="14" s="1"/>
  <c r="L203" i="14" s="1"/>
  <c r="L204" i="14" s="1"/>
  <c r="L205" i="14" s="1"/>
  <c r="L206" i="14" s="1"/>
  <c r="L207" i="14" s="1"/>
  <c r="L208" i="14" s="1"/>
  <c r="L209" i="14" s="1"/>
  <c r="L210" i="14" s="1"/>
  <c r="L211" i="14" s="1"/>
  <c r="L212" i="14" s="1"/>
  <c r="L213" i="14" s="1"/>
  <c r="L214" i="14" s="1"/>
  <c r="L215" i="14" s="1"/>
  <c r="L216" i="14" s="1"/>
  <c r="L217" i="14" s="1"/>
  <c r="L218" i="14" s="1"/>
  <c r="L219" i="14" s="1"/>
  <c r="L220" i="14" s="1"/>
  <c r="L221" i="14" s="1"/>
  <c r="L222" i="14" s="1"/>
  <c r="L223" i="14" s="1"/>
  <c r="L224" i="14" s="1"/>
  <c r="L225" i="14" s="1"/>
  <c r="L226" i="14" s="1"/>
  <c r="L227" i="14" s="1"/>
  <c r="L228" i="14" s="1"/>
  <c r="L229" i="14" s="1"/>
  <c r="L230" i="14" s="1"/>
  <c r="L231" i="14" s="1"/>
  <c r="L232" i="14" s="1"/>
  <c r="L233" i="14" s="1"/>
  <c r="L234" i="14" s="1"/>
  <c r="L235" i="14" s="1"/>
  <c r="L236" i="14" s="1"/>
  <c r="L237" i="14" s="1"/>
  <c r="L238" i="14" s="1"/>
  <c r="L239" i="14" s="1"/>
  <c r="L240" i="14" s="1"/>
  <c r="L241" i="14" s="1"/>
  <c r="L242" i="14" s="1"/>
  <c r="J42" i="14"/>
  <c r="J43" i="14" s="1"/>
  <c r="J44" i="14" s="1"/>
  <c r="J45" i="14" s="1"/>
  <c r="J46" i="14" s="1"/>
  <c r="J47" i="14" s="1"/>
  <c r="J48" i="14" s="1"/>
  <c r="J49" i="14" s="1"/>
  <c r="J50" i="14" s="1"/>
  <c r="J51" i="14" s="1"/>
  <c r="J52" i="14" s="1"/>
  <c r="J53" i="14" s="1"/>
  <c r="J54" i="14" s="1"/>
  <c r="J55" i="14" s="1"/>
  <c r="J56" i="14" s="1"/>
  <c r="J57" i="14" s="1"/>
  <c r="J58" i="14" s="1"/>
  <c r="J59" i="14" s="1"/>
  <c r="J60" i="14" s="1"/>
  <c r="J61" i="14" s="1"/>
  <c r="J62" i="14" s="1"/>
  <c r="J63" i="14" s="1"/>
  <c r="J64" i="14" s="1"/>
  <c r="J65" i="14" s="1"/>
  <c r="J66" i="14" s="1"/>
  <c r="J67" i="14" s="1"/>
  <c r="J68" i="14" s="1"/>
  <c r="J69" i="14" s="1"/>
  <c r="J70" i="14" s="1"/>
  <c r="J71" i="14" s="1"/>
  <c r="J72" i="14" s="1"/>
  <c r="J73" i="14" s="1"/>
  <c r="J74" i="14" s="1"/>
  <c r="J75" i="14" s="1"/>
  <c r="J76" i="14" s="1"/>
  <c r="J77" i="14" s="1"/>
  <c r="J78" i="14" s="1"/>
  <c r="J79" i="14" s="1"/>
  <c r="J80" i="14" s="1"/>
  <c r="J81" i="14" s="1"/>
  <c r="J82" i="14" s="1"/>
  <c r="J83" i="14" s="1"/>
  <c r="J84" i="14" s="1"/>
  <c r="J85" i="14" s="1"/>
  <c r="J86" i="14" s="1"/>
  <c r="J87" i="14" s="1"/>
  <c r="J88" i="14" s="1"/>
  <c r="J89" i="14" s="1"/>
  <c r="J90" i="14" s="1"/>
  <c r="J91" i="14" s="1"/>
  <c r="J92" i="14" s="1"/>
  <c r="J93" i="14" s="1"/>
  <c r="J94" i="14" s="1"/>
  <c r="J95" i="14" s="1"/>
  <c r="J96" i="14" s="1"/>
  <c r="J97" i="14" s="1"/>
  <c r="J98" i="14" s="1"/>
  <c r="J99" i="14" s="1"/>
  <c r="J100" i="14" s="1"/>
  <c r="J101" i="14" s="1"/>
  <c r="J102" i="14" s="1"/>
  <c r="J103" i="14" s="1"/>
  <c r="J104" i="14" s="1"/>
  <c r="J105" i="14" s="1"/>
  <c r="J106" i="14" s="1"/>
  <c r="J107" i="14" s="1"/>
  <c r="J108" i="14" s="1"/>
  <c r="J109" i="14" s="1"/>
  <c r="J110" i="14" s="1"/>
  <c r="J111" i="14" s="1"/>
  <c r="J112" i="14" s="1"/>
  <c r="J113" i="14" s="1"/>
  <c r="J114" i="14" s="1"/>
  <c r="J115" i="14" s="1"/>
  <c r="J116" i="14" s="1"/>
  <c r="J117" i="14" s="1"/>
  <c r="J118" i="14" s="1"/>
  <c r="J119" i="14" s="1"/>
  <c r="J120" i="14" s="1"/>
  <c r="J121" i="14" s="1"/>
  <c r="J122" i="14" s="1"/>
  <c r="J123" i="14" s="1"/>
  <c r="J124" i="14" s="1"/>
  <c r="J125" i="14" s="1"/>
  <c r="J126" i="14" s="1"/>
  <c r="J127" i="14" s="1"/>
  <c r="J128" i="14" s="1"/>
  <c r="J129" i="14" s="1"/>
  <c r="J130" i="14" s="1"/>
  <c r="J131" i="14" s="1"/>
  <c r="J132" i="14" s="1"/>
  <c r="J133" i="14" s="1"/>
  <c r="J134" i="14" s="1"/>
  <c r="J135" i="14" s="1"/>
  <c r="J136" i="14" s="1"/>
  <c r="J137" i="14" s="1"/>
  <c r="J138" i="14" s="1"/>
  <c r="J139" i="14" s="1"/>
  <c r="J140" i="14" s="1"/>
  <c r="J141" i="14" s="1"/>
  <c r="J142" i="14" s="1"/>
  <c r="J143" i="14" s="1"/>
  <c r="J144" i="14" s="1"/>
  <c r="J145" i="14" s="1"/>
  <c r="J146" i="14" s="1"/>
  <c r="J147" i="14" s="1"/>
  <c r="J148" i="14" s="1"/>
  <c r="J149" i="14" s="1"/>
  <c r="J150" i="14" s="1"/>
  <c r="J151" i="14" s="1"/>
  <c r="J152" i="14" s="1"/>
  <c r="J153" i="14" s="1"/>
  <c r="J154" i="14" s="1"/>
  <c r="J155" i="14" s="1"/>
  <c r="J156" i="14" s="1"/>
  <c r="J157" i="14" s="1"/>
  <c r="J158" i="14" s="1"/>
  <c r="J159" i="14" s="1"/>
  <c r="J160" i="14" s="1"/>
  <c r="J161" i="14" s="1"/>
  <c r="J162" i="14" s="1"/>
  <c r="J163" i="14" s="1"/>
  <c r="J164" i="14" s="1"/>
  <c r="J165" i="14" s="1"/>
  <c r="J166" i="14" s="1"/>
  <c r="J167" i="14" s="1"/>
  <c r="J168" i="14" s="1"/>
  <c r="J169" i="14" s="1"/>
  <c r="J170" i="14" s="1"/>
  <c r="J171" i="14" s="1"/>
  <c r="J172" i="14" s="1"/>
  <c r="J173" i="14" s="1"/>
  <c r="J174" i="14" s="1"/>
  <c r="J175" i="14" s="1"/>
  <c r="J176" i="14" s="1"/>
  <c r="J177" i="14" s="1"/>
  <c r="J178" i="14" s="1"/>
  <c r="J179" i="14" s="1"/>
  <c r="J180" i="14" s="1"/>
  <c r="J181" i="14" s="1"/>
  <c r="J182" i="14" s="1"/>
  <c r="J183" i="14" s="1"/>
  <c r="J184" i="14" s="1"/>
  <c r="J185" i="14" s="1"/>
  <c r="J186" i="14" s="1"/>
  <c r="J187" i="14" s="1"/>
  <c r="J188" i="14" s="1"/>
  <c r="J189" i="14" s="1"/>
  <c r="J190" i="14" s="1"/>
  <c r="J191" i="14" s="1"/>
  <c r="J192" i="14" s="1"/>
  <c r="J193" i="14" s="1"/>
  <c r="J194" i="14" s="1"/>
  <c r="J195" i="14" s="1"/>
  <c r="J196" i="14" s="1"/>
  <c r="J197" i="14" s="1"/>
  <c r="J198" i="14" s="1"/>
  <c r="J199" i="14" s="1"/>
  <c r="J200" i="14" s="1"/>
  <c r="J201" i="14" s="1"/>
  <c r="J202" i="14" s="1"/>
  <c r="J203" i="14" s="1"/>
  <c r="J204" i="14" s="1"/>
  <c r="J205" i="14" s="1"/>
  <c r="J206" i="14" s="1"/>
  <c r="J207" i="14" s="1"/>
  <c r="J208" i="14" s="1"/>
  <c r="J209" i="14" s="1"/>
  <c r="J210" i="14" s="1"/>
  <c r="J211" i="14" s="1"/>
  <c r="J212" i="14" s="1"/>
  <c r="J213" i="14" s="1"/>
  <c r="J214" i="14" s="1"/>
  <c r="J215" i="14" s="1"/>
  <c r="J216" i="14" s="1"/>
  <c r="J217" i="14" s="1"/>
  <c r="J218" i="14" s="1"/>
  <c r="J219" i="14" s="1"/>
  <c r="J220" i="14" s="1"/>
  <c r="J221" i="14" s="1"/>
  <c r="J222" i="14" s="1"/>
  <c r="J223" i="14" s="1"/>
  <c r="J224" i="14" s="1"/>
  <c r="J225" i="14" s="1"/>
  <c r="J226" i="14" s="1"/>
  <c r="J227" i="14" s="1"/>
  <c r="J228" i="14" s="1"/>
  <c r="J229" i="14" s="1"/>
  <c r="J230" i="14" s="1"/>
  <c r="J231" i="14" s="1"/>
  <c r="J232" i="14" s="1"/>
  <c r="J233" i="14" s="1"/>
  <c r="J234" i="14" s="1"/>
  <c r="J235" i="14" s="1"/>
  <c r="J236" i="14" s="1"/>
  <c r="J237" i="14" s="1"/>
  <c r="J238" i="14" s="1"/>
  <c r="J239" i="14" s="1"/>
  <c r="J240" i="14" s="1"/>
  <c r="J241" i="14" s="1"/>
  <c r="J242" i="14" s="1"/>
  <c r="H40" i="14"/>
  <c r="H43" i="14" s="1"/>
  <c r="H44" i="14" s="1"/>
  <c r="H45" i="14" s="1"/>
  <c r="H46" i="14" s="1"/>
  <c r="H47" i="14" s="1"/>
  <c r="H48" i="14" s="1"/>
  <c r="H49" i="14" s="1"/>
  <c r="H50" i="14" s="1"/>
  <c r="H51" i="14" s="1"/>
  <c r="H52" i="14" s="1"/>
  <c r="H53" i="14" s="1"/>
  <c r="H54" i="14" s="1"/>
  <c r="H55" i="14" s="1"/>
  <c r="H56" i="14" s="1"/>
  <c r="H57" i="14" s="1"/>
  <c r="H58" i="14" s="1"/>
  <c r="H59" i="14" s="1"/>
  <c r="H60" i="14" s="1"/>
  <c r="H61" i="14" s="1"/>
  <c r="H62" i="14" s="1"/>
  <c r="H63" i="14" s="1"/>
  <c r="H64" i="14" s="1"/>
  <c r="H65" i="14" s="1"/>
  <c r="H66" i="14" s="1"/>
  <c r="H67" i="14" s="1"/>
  <c r="H68" i="14" s="1"/>
  <c r="H69" i="14" s="1"/>
  <c r="H70" i="14" s="1"/>
  <c r="H71" i="14" s="1"/>
  <c r="H72" i="14" s="1"/>
  <c r="H73" i="14" s="1"/>
  <c r="H74" i="14" s="1"/>
  <c r="H75" i="14" s="1"/>
  <c r="H76" i="14" s="1"/>
  <c r="H77" i="14" s="1"/>
  <c r="H78" i="14" s="1"/>
  <c r="H79" i="14" s="1"/>
  <c r="H80" i="14" s="1"/>
  <c r="H81" i="14" s="1"/>
  <c r="H82" i="14" s="1"/>
  <c r="H83" i="14" s="1"/>
  <c r="H84" i="14" s="1"/>
  <c r="H85" i="14" s="1"/>
  <c r="H86" i="14" s="1"/>
  <c r="H87" i="14" s="1"/>
  <c r="H88" i="14" s="1"/>
  <c r="H89" i="14" s="1"/>
  <c r="H90" i="14" s="1"/>
  <c r="H91" i="14" s="1"/>
  <c r="H92" i="14" s="1"/>
  <c r="H93" i="14" s="1"/>
  <c r="H94" i="14" s="1"/>
  <c r="H95" i="14" s="1"/>
  <c r="H96" i="14" s="1"/>
  <c r="H97" i="14" s="1"/>
  <c r="H98" i="14" s="1"/>
  <c r="H99" i="14" s="1"/>
  <c r="H100" i="14" s="1"/>
  <c r="H101" i="14" s="1"/>
  <c r="H102" i="14" s="1"/>
  <c r="H103" i="14" s="1"/>
  <c r="H104" i="14" s="1"/>
  <c r="H105" i="14" s="1"/>
  <c r="H106" i="14" s="1"/>
  <c r="H107" i="14" s="1"/>
  <c r="H108" i="14" s="1"/>
  <c r="H109" i="14" s="1"/>
  <c r="H110" i="14" s="1"/>
  <c r="H111" i="14" s="1"/>
  <c r="H112" i="14" s="1"/>
  <c r="H113" i="14" s="1"/>
  <c r="H114" i="14" s="1"/>
  <c r="H115" i="14" s="1"/>
  <c r="H116" i="14" s="1"/>
  <c r="H117" i="14" s="1"/>
  <c r="H118" i="14" s="1"/>
  <c r="H119" i="14" s="1"/>
  <c r="H120" i="14" s="1"/>
  <c r="H121" i="14" s="1"/>
  <c r="H122" i="14" s="1"/>
  <c r="H123" i="14" s="1"/>
  <c r="H124" i="14" s="1"/>
  <c r="H125" i="14" s="1"/>
  <c r="H126" i="14" s="1"/>
  <c r="H127" i="14" s="1"/>
  <c r="H128" i="14" s="1"/>
  <c r="H129" i="14" s="1"/>
  <c r="H130" i="14" s="1"/>
  <c r="H131" i="14" s="1"/>
  <c r="H132" i="14" s="1"/>
  <c r="H133" i="14" s="1"/>
  <c r="H134" i="14" s="1"/>
  <c r="H135" i="14" s="1"/>
  <c r="H136" i="14" s="1"/>
  <c r="H137" i="14" s="1"/>
  <c r="H138" i="14" s="1"/>
  <c r="H139" i="14" s="1"/>
  <c r="H140" i="14" s="1"/>
  <c r="H141" i="14" s="1"/>
  <c r="H142" i="14" s="1"/>
  <c r="H143" i="14" s="1"/>
  <c r="H144" i="14" s="1"/>
  <c r="H145" i="14" s="1"/>
  <c r="H146" i="14" s="1"/>
  <c r="H147" i="14" s="1"/>
  <c r="H148" i="14" s="1"/>
  <c r="H149" i="14" s="1"/>
  <c r="H150" i="14" s="1"/>
  <c r="H151" i="14" s="1"/>
  <c r="H152" i="14" s="1"/>
  <c r="H153" i="14" s="1"/>
  <c r="H154" i="14" s="1"/>
  <c r="H155" i="14" s="1"/>
  <c r="H156" i="14" s="1"/>
  <c r="H157" i="14" s="1"/>
  <c r="H158" i="14" s="1"/>
  <c r="H159" i="14" s="1"/>
  <c r="H160" i="14" s="1"/>
  <c r="H161" i="14" s="1"/>
  <c r="H162" i="14" s="1"/>
  <c r="H163" i="14" s="1"/>
  <c r="H164" i="14" s="1"/>
  <c r="H165" i="14" s="1"/>
  <c r="H166" i="14" s="1"/>
  <c r="H167" i="14" s="1"/>
  <c r="H168" i="14" s="1"/>
  <c r="H169" i="14" s="1"/>
  <c r="H170" i="14" s="1"/>
  <c r="H171" i="14" s="1"/>
  <c r="H172" i="14" s="1"/>
  <c r="H173" i="14" s="1"/>
  <c r="H174" i="14" s="1"/>
  <c r="H175" i="14" s="1"/>
  <c r="H176" i="14" s="1"/>
  <c r="H177" i="14" s="1"/>
  <c r="H178" i="14" s="1"/>
  <c r="H179" i="14" s="1"/>
  <c r="H180" i="14" s="1"/>
  <c r="H181" i="14" s="1"/>
  <c r="H182" i="14" s="1"/>
  <c r="H183" i="14" s="1"/>
  <c r="H184" i="14" s="1"/>
  <c r="H185" i="14" s="1"/>
  <c r="H186" i="14" s="1"/>
  <c r="H187" i="14" s="1"/>
  <c r="H188" i="14" s="1"/>
  <c r="H189" i="14" s="1"/>
  <c r="H190" i="14" s="1"/>
  <c r="H191" i="14" s="1"/>
  <c r="H192" i="14" s="1"/>
  <c r="H193" i="14" s="1"/>
  <c r="H194" i="14" s="1"/>
  <c r="H195" i="14" s="1"/>
  <c r="H196" i="14" s="1"/>
  <c r="H197" i="14" s="1"/>
  <c r="H198" i="14" s="1"/>
  <c r="H199" i="14" s="1"/>
  <c r="H200" i="14" s="1"/>
  <c r="H201" i="14" s="1"/>
  <c r="H202" i="14" s="1"/>
  <c r="H203" i="14" s="1"/>
  <c r="H204" i="14" s="1"/>
  <c r="H205" i="14" s="1"/>
  <c r="H206" i="14" s="1"/>
  <c r="H207" i="14" s="1"/>
  <c r="H208" i="14" s="1"/>
  <c r="H209" i="14" s="1"/>
  <c r="H210" i="14" s="1"/>
  <c r="H211" i="14" s="1"/>
  <c r="H212" i="14" s="1"/>
  <c r="H213" i="14" s="1"/>
  <c r="H214" i="14" s="1"/>
  <c r="H215" i="14" s="1"/>
  <c r="H216" i="14" s="1"/>
  <c r="H217" i="14" s="1"/>
  <c r="H218" i="14" s="1"/>
  <c r="H219" i="14" s="1"/>
  <c r="H220" i="14" s="1"/>
  <c r="H221" i="14" s="1"/>
  <c r="H222" i="14" s="1"/>
  <c r="H223" i="14" s="1"/>
  <c r="H224" i="14" s="1"/>
  <c r="H225" i="14" s="1"/>
  <c r="H226" i="14" s="1"/>
  <c r="H227" i="14" s="1"/>
  <c r="H228" i="14" s="1"/>
  <c r="H229" i="14" s="1"/>
  <c r="H230" i="14" s="1"/>
  <c r="H231" i="14" s="1"/>
  <c r="H232" i="14" s="1"/>
  <c r="H233" i="14" s="1"/>
  <c r="H234" i="14" s="1"/>
  <c r="H235" i="14" s="1"/>
  <c r="H236" i="14" s="1"/>
  <c r="H237" i="14" s="1"/>
  <c r="H238" i="14" s="1"/>
  <c r="H239" i="14" s="1"/>
  <c r="H240" i="14" s="1"/>
  <c r="H241" i="14" s="1"/>
  <c r="H242" i="14" s="1"/>
  <c r="K40" i="14"/>
  <c r="K43" i="14" s="1"/>
  <c r="K44" i="14" s="1"/>
  <c r="K45" i="14" s="1"/>
  <c r="K46" i="14" s="1"/>
  <c r="K47" i="14" s="1"/>
  <c r="K48" i="14" s="1"/>
  <c r="K49" i="14" s="1"/>
  <c r="K50" i="14" s="1"/>
  <c r="K51" i="14" s="1"/>
  <c r="K52" i="14" s="1"/>
  <c r="K53" i="14" s="1"/>
  <c r="K54" i="14" s="1"/>
  <c r="K55" i="14" s="1"/>
  <c r="K56" i="14" s="1"/>
  <c r="K57" i="14" s="1"/>
  <c r="K58" i="14" s="1"/>
  <c r="K59" i="14" s="1"/>
  <c r="K60" i="14" s="1"/>
  <c r="K61" i="14" s="1"/>
  <c r="K62" i="14" s="1"/>
  <c r="K63" i="14" s="1"/>
  <c r="K64" i="14" s="1"/>
  <c r="K65" i="14" s="1"/>
  <c r="K66" i="14" s="1"/>
  <c r="K67" i="14" s="1"/>
  <c r="K68" i="14" s="1"/>
  <c r="K69" i="14" s="1"/>
  <c r="K70" i="14" s="1"/>
  <c r="K71" i="14" s="1"/>
  <c r="K72" i="14" s="1"/>
  <c r="K73" i="14" s="1"/>
  <c r="K74" i="14" s="1"/>
  <c r="K75" i="14" s="1"/>
  <c r="K76" i="14" s="1"/>
  <c r="K77" i="14" s="1"/>
  <c r="K78" i="14" s="1"/>
  <c r="K79" i="14" s="1"/>
  <c r="K80" i="14" s="1"/>
  <c r="K81" i="14" s="1"/>
  <c r="K82" i="14" s="1"/>
  <c r="K83" i="14" s="1"/>
  <c r="K84" i="14" s="1"/>
  <c r="K85" i="14" s="1"/>
  <c r="K86" i="14" s="1"/>
  <c r="K87" i="14" s="1"/>
  <c r="K88" i="14" s="1"/>
  <c r="K89" i="14" s="1"/>
  <c r="K90" i="14" s="1"/>
  <c r="K91" i="14" s="1"/>
  <c r="K92" i="14" s="1"/>
  <c r="K93" i="14" s="1"/>
  <c r="K94" i="14" s="1"/>
  <c r="K95" i="14" s="1"/>
  <c r="K96" i="14" s="1"/>
  <c r="K97" i="14" s="1"/>
  <c r="K98" i="14" s="1"/>
  <c r="K99" i="14" s="1"/>
  <c r="K100" i="14" s="1"/>
  <c r="K101" i="14" s="1"/>
  <c r="K102" i="14" s="1"/>
  <c r="K103" i="14" s="1"/>
  <c r="K104" i="14" s="1"/>
  <c r="K105" i="14" s="1"/>
  <c r="K106" i="14" s="1"/>
  <c r="K107" i="14" s="1"/>
  <c r="K108" i="14" s="1"/>
  <c r="K109" i="14" s="1"/>
  <c r="K110" i="14" s="1"/>
  <c r="K111" i="14" s="1"/>
  <c r="K112" i="14" s="1"/>
  <c r="K113" i="14" s="1"/>
  <c r="K114" i="14" s="1"/>
  <c r="K115" i="14" s="1"/>
  <c r="K116" i="14" s="1"/>
  <c r="K117" i="14" s="1"/>
  <c r="K118" i="14" s="1"/>
  <c r="K119" i="14" s="1"/>
  <c r="K120" i="14" s="1"/>
  <c r="K121" i="14" s="1"/>
  <c r="K122" i="14" s="1"/>
  <c r="K123" i="14" s="1"/>
  <c r="K124" i="14" s="1"/>
  <c r="K125" i="14" s="1"/>
  <c r="K126" i="14" s="1"/>
  <c r="K127" i="14" s="1"/>
  <c r="K128" i="14" s="1"/>
  <c r="K129" i="14" s="1"/>
  <c r="K130" i="14" s="1"/>
  <c r="K131" i="14" s="1"/>
  <c r="K132" i="14" s="1"/>
  <c r="K133" i="14" s="1"/>
  <c r="K134" i="14" s="1"/>
  <c r="K135" i="14" s="1"/>
  <c r="K136" i="14" s="1"/>
  <c r="K137" i="14" s="1"/>
  <c r="K138" i="14" s="1"/>
  <c r="K139" i="14" s="1"/>
  <c r="K140" i="14" s="1"/>
  <c r="K141" i="14" s="1"/>
  <c r="K142" i="14" s="1"/>
  <c r="K143" i="14" s="1"/>
  <c r="K144" i="14" s="1"/>
  <c r="K145" i="14" s="1"/>
  <c r="K146" i="14" s="1"/>
  <c r="K147" i="14" s="1"/>
  <c r="K148" i="14" s="1"/>
  <c r="K149" i="14" s="1"/>
  <c r="K150" i="14" s="1"/>
  <c r="K151" i="14" s="1"/>
  <c r="K152" i="14" s="1"/>
  <c r="K153" i="14" s="1"/>
  <c r="K154" i="14" s="1"/>
  <c r="K155" i="14" s="1"/>
  <c r="K156" i="14" s="1"/>
  <c r="K157" i="14" s="1"/>
  <c r="K158" i="14" s="1"/>
  <c r="K159" i="14" s="1"/>
  <c r="K160" i="14" s="1"/>
  <c r="K161" i="14" s="1"/>
  <c r="K162" i="14" s="1"/>
  <c r="K163" i="14" s="1"/>
  <c r="K164" i="14" s="1"/>
  <c r="K165" i="14" s="1"/>
  <c r="K166" i="14" s="1"/>
  <c r="K167" i="14" s="1"/>
  <c r="K168" i="14" s="1"/>
  <c r="K169" i="14" s="1"/>
  <c r="K170" i="14" s="1"/>
  <c r="K171" i="14" s="1"/>
  <c r="K172" i="14" s="1"/>
  <c r="K173" i="14" s="1"/>
  <c r="K174" i="14" s="1"/>
  <c r="K175" i="14" s="1"/>
  <c r="K176" i="14" s="1"/>
  <c r="K177" i="14" s="1"/>
  <c r="K178" i="14" s="1"/>
  <c r="K179" i="14" s="1"/>
  <c r="K180" i="14" s="1"/>
  <c r="K181" i="14" s="1"/>
  <c r="K182" i="14" s="1"/>
  <c r="K183" i="14" s="1"/>
  <c r="K184" i="14" s="1"/>
  <c r="K185" i="14" s="1"/>
  <c r="K186" i="14" s="1"/>
  <c r="K187" i="14" s="1"/>
  <c r="K188" i="14" s="1"/>
  <c r="K189" i="14" s="1"/>
  <c r="K190" i="14" s="1"/>
  <c r="K191" i="14" s="1"/>
  <c r="K192" i="14" s="1"/>
  <c r="K193" i="14" s="1"/>
  <c r="K194" i="14" s="1"/>
  <c r="K195" i="14" s="1"/>
  <c r="K196" i="14" s="1"/>
  <c r="K197" i="14" s="1"/>
  <c r="K198" i="14" s="1"/>
  <c r="K199" i="14" s="1"/>
  <c r="K200" i="14" s="1"/>
  <c r="K201" i="14" s="1"/>
  <c r="K202" i="14" s="1"/>
  <c r="K203" i="14" s="1"/>
  <c r="K204" i="14" s="1"/>
  <c r="K205" i="14" s="1"/>
  <c r="K206" i="14" s="1"/>
  <c r="K207" i="14" s="1"/>
  <c r="K208" i="14" s="1"/>
  <c r="K209" i="14" s="1"/>
  <c r="K210" i="14" s="1"/>
  <c r="K211" i="14" s="1"/>
  <c r="K212" i="14" s="1"/>
  <c r="K213" i="14" s="1"/>
  <c r="K214" i="14" s="1"/>
  <c r="K215" i="14" s="1"/>
  <c r="K216" i="14" s="1"/>
  <c r="K217" i="14" s="1"/>
  <c r="K218" i="14" s="1"/>
  <c r="K219" i="14" s="1"/>
  <c r="K220" i="14" s="1"/>
  <c r="K221" i="14" s="1"/>
  <c r="K222" i="14" s="1"/>
  <c r="K223" i="14" s="1"/>
  <c r="K224" i="14" s="1"/>
  <c r="K225" i="14" s="1"/>
  <c r="K226" i="14" s="1"/>
  <c r="K227" i="14" s="1"/>
  <c r="K228" i="14" s="1"/>
  <c r="K229" i="14" s="1"/>
  <c r="K230" i="14" s="1"/>
  <c r="K231" i="14" s="1"/>
  <c r="K232" i="14" s="1"/>
  <c r="K233" i="14" s="1"/>
  <c r="K234" i="14" s="1"/>
  <c r="K235" i="14" s="1"/>
  <c r="K236" i="14" s="1"/>
  <c r="K237" i="14" s="1"/>
  <c r="K238" i="14" s="1"/>
  <c r="K239" i="14" s="1"/>
  <c r="K240" i="14" s="1"/>
  <c r="K241" i="14" s="1"/>
  <c r="K242" i="14" s="1"/>
  <c r="C42" i="14"/>
  <c r="C43" i="14" s="1"/>
  <c r="C44" i="14" s="1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s="1"/>
  <c r="C58" i="14" s="1"/>
  <c r="C59" i="14" s="1"/>
  <c r="C60" i="14" s="1"/>
  <c r="C61" i="14" s="1"/>
  <c r="C62" i="14" s="1"/>
  <c r="C63" i="14" s="1"/>
  <c r="C64" i="14" s="1"/>
  <c r="C65" i="14" s="1"/>
  <c r="C66" i="14" s="1"/>
  <c r="C67" i="14" s="1"/>
  <c r="C68" i="14" s="1"/>
  <c r="C69" i="14" s="1"/>
  <c r="C70" i="14" s="1"/>
  <c r="C71" i="14" s="1"/>
  <c r="C72" i="14" s="1"/>
  <c r="C73" i="14" s="1"/>
  <c r="C74" i="14" s="1"/>
  <c r="C75" i="14" s="1"/>
  <c r="C76" i="14" s="1"/>
  <c r="C77" i="14" s="1"/>
  <c r="C78" i="14" s="1"/>
  <c r="C79" i="14" s="1"/>
  <c r="C80" i="14" s="1"/>
  <c r="C81" i="14" s="1"/>
  <c r="C82" i="14" s="1"/>
  <c r="C83" i="14" s="1"/>
  <c r="C84" i="14" s="1"/>
  <c r="C85" i="14" s="1"/>
  <c r="C86" i="14" s="1"/>
  <c r="C87" i="14" s="1"/>
  <c r="C88" i="14" s="1"/>
  <c r="C89" i="14" s="1"/>
  <c r="C90" i="14" s="1"/>
  <c r="C91" i="14" s="1"/>
  <c r="C92" i="14" s="1"/>
  <c r="C93" i="14" s="1"/>
  <c r="C94" i="14" s="1"/>
  <c r="C95" i="14" s="1"/>
  <c r="C96" i="14" s="1"/>
  <c r="C97" i="14" s="1"/>
  <c r="C98" i="14" s="1"/>
  <c r="C99" i="14" s="1"/>
  <c r="C100" i="14" s="1"/>
  <c r="C101" i="14" s="1"/>
  <c r="C102" i="14" s="1"/>
  <c r="C103" i="14" s="1"/>
  <c r="C104" i="14" s="1"/>
  <c r="C105" i="14" s="1"/>
  <c r="C106" i="14" s="1"/>
  <c r="C107" i="14" s="1"/>
  <c r="C108" i="14" s="1"/>
  <c r="C109" i="14" s="1"/>
  <c r="C110" i="14" s="1"/>
  <c r="C111" i="14" s="1"/>
  <c r="C112" i="14" s="1"/>
  <c r="C113" i="14" s="1"/>
  <c r="C114" i="14" s="1"/>
  <c r="C115" i="14" s="1"/>
  <c r="C116" i="14" s="1"/>
  <c r="C117" i="14" s="1"/>
  <c r="C118" i="14" s="1"/>
  <c r="C119" i="14" s="1"/>
  <c r="C120" i="14" s="1"/>
  <c r="C121" i="14" s="1"/>
  <c r="C122" i="14" s="1"/>
  <c r="C123" i="14" s="1"/>
  <c r="C124" i="14" s="1"/>
  <c r="C125" i="14" s="1"/>
  <c r="C126" i="14" s="1"/>
  <c r="C127" i="14" s="1"/>
  <c r="C128" i="14" s="1"/>
  <c r="C129" i="14" s="1"/>
  <c r="C130" i="14" s="1"/>
  <c r="C131" i="14" s="1"/>
  <c r="C132" i="14" s="1"/>
  <c r="C133" i="14" s="1"/>
  <c r="C134" i="14" s="1"/>
  <c r="C135" i="14" s="1"/>
  <c r="C136" i="14" s="1"/>
  <c r="C137" i="14" s="1"/>
  <c r="C138" i="14" s="1"/>
  <c r="C139" i="14" s="1"/>
  <c r="C140" i="14" s="1"/>
  <c r="C141" i="14" s="1"/>
  <c r="C142" i="14" s="1"/>
  <c r="C143" i="14" s="1"/>
  <c r="C144" i="14" s="1"/>
  <c r="C145" i="14" s="1"/>
  <c r="C146" i="14" s="1"/>
  <c r="C147" i="14" s="1"/>
  <c r="C148" i="14" s="1"/>
  <c r="C149" i="14" s="1"/>
  <c r="C150" i="14" s="1"/>
  <c r="C151" i="14" s="1"/>
  <c r="C152" i="14" s="1"/>
  <c r="C153" i="14" s="1"/>
  <c r="C154" i="14" s="1"/>
  <c r="C155" i="14" s="1"/>
  <c r="C156" i="14" s="1"/>
  <c r="C157" i="14" s="1"/>
  <c r="C158" i="14" s="1"/>
  <c r="C159" i="14" s="1"/>
  <c r="C160" i="14" s="1"/>
  <c r="C161" i="14" s="1"/>
  <c r="C162" i="14" s="1"/>
  <c r="C163" i="14" s="1"/>
  <c r="C164" i="14" s="1"/>
  <c r="C165" i="14" s="1"/>
  <c r="C166" i="14" s="1"/>
  <c r="C167" i="14" s="1"/>
  <c r="C168" i="14" s="1"/>
  <c r="C169" i="14" s="1"/>
  <c r="C170" i="14" s="1"/>
  <c r="C171" i="14" s="1"/>
  <c r="C172" i="14" s="1"/>
  <c r="C173" i="14" s="1"/>
  <c r="C174" i="14" s="1"/>
  <c r="C175" i="14" s="1"/>
  <c r="C176" i="14" s="1"/>
  <c r="C177" i="14" s="1"/>
  <c r="C178" i="14" s="1"/>
  <c r="C179" i="14" s="1"/>
  <c r="C180" i="14" s="1"/>
  <c r="C181" i="14" s="1"/>
  <c r="C182" i="14" s="1"/>
  <c r="C183" i="14" s="1"/>
  <c r="C184" i="14" s="1"/>
  <c r="C185" i="14" s="1"/>
  <c r="C186" i="14" s="1"/>
  <c r="C187" i="14" s="1"/>
  <c r="C188" i="14" s="1"/>
  <c r="C189" i="14" s="1"/>
  <c r="C190" i="14" s="1"/>
  <c r="C191" i="14" s="1"/>
  <c r="C192" i="14" s="1"/>
  <c r="C193" i="14" s="1"/>
  <c r="C194" i="14" s="1"/>
  <c r="C195" i="14" s="1"/>
  <c r="C196" i="14" s="1"/>
  <c r="C197" i="14" s="1"/>
  <c r="C198" i="14" s="1"/>
  <c r="C199" i="14" s="1"/>
  <c r="C200" i="14" s="1"/>
  <c r="C201" i="14" s="1"/>
  <c r="C202" i="14" s="1"/>
  <c r="C203" i="14" s="1"/>
  <c r="C204" i="14" s="1"/>
  <c r="C205" i="14" s="1"/>
  <c r="C206" i="14" s="1"/>
  <c r="C207" i="14" s="1"/>
  <c r="C208" i="14" s="1"/>
  <c r="C209" i="14" s="1"/>
  <c r="C210" i="14" s="1"/>
  <c r="C211" i="14" s="1"/>
  <c r="C212" i="14" s="1"/>
  <c r="C213" i="14" s="1"/>
  <c r="C214" i="14" s="1"/>
  <c r="C215" i="14" s="1"/>
  <c r="C216" i="14" s="1"/>
  <c r="C217" i="14" s="1"/>
  <c r="C218" i="14" s="1"/>
  <c r="C219" i="14" s="1"/>
  <c r="C220" i="14" s="1"/>
  <c r="C221" i="14" s="1"/>
  <c r="C222" i="14" s="1"/>
  <c r="C223" i="14" s="1"/>
  <c r="C224" i="14" s="1"/>
  <c r="C225" i="14" s="1"/>
  <c r="C226" i="14" s="1"/>
  <c r="C227" i="14" s="1"/>
  <c r="C228" i="14" s="1"/>
  <c r="C229" i="14" s="1"/>
  <c r="C230" i="14" s="1"/>
  <c r="C231" i="14" s="1"/>
  <c r="C232" i="14" s="1"/>
  <c r="C233" i="14" s="1"/>
  <c r="C234" i="14" s="1"/>
  <c r="C235" i="14" s="1"/>
  <c r="C236" i="14" s="1"/>
  <c r="C237" i="14" s="1"/>
  <c r="C238" i="14" s="1"/>
  <c r="C239" i="14" s="1"/>
  <c r="C240" i="14" s="1"/>
  <c r="C241" i="14" s="1"/>
  <c r="C242" i="14" s="1"/>
  <c r="I40" i="14"/>
  <c r="I43" i="14" s="1"/>
  <c r="I44" i="14" s="1"/>
  <c r="I45" i="14" s="1"/>
  <c r="I46" i="14" s="1"/>
  <c r="I47" i="14" s="1"/>
  <c r="I48" i="14" s="1"/>
  <c r="I49" i="14" s="1"/>
  <c r="I50" i="14" s="1"/>
  <c r="I51" i="14" s="1"/>
  <c r="I52" i="14" s="1"/>
  <c r="I53" i="14" s="1"/>
  <c r="I54" i="14" s="1"/>
  <c r="I55" i="14" s="1"/>
  <c r="I56" i="14" s="1"/>
  <c r="I57" i="14" s="1"/>
  <c r="I58" i="14" s="1"/>
  <c r="I59" i="14" s="1"/>
  <c r="I60" i="14" s="1"/>
  <c r="I61" i="14" s="1"/>
  <c r="I62" i="14" s="1"/>
  <c r="I63" i="14" s="1"/>
  <c r="I64" i="14" s="1"/>
  <c r="I65" i="14" s="1"/>
  <c r="I66" i="14" s="1"/>
  <c r="I67" i="14" s="1"/>
  <c r="I68" i="14" s="1"/>
  <c r="I69" i="14" s="1"/>
  <c r="I70" i="14" s="1"/>
  <c r="I71" i="14" s="1"/>
  <c r="I72" i="14" s="1"/>
  <c r="I73" i="14" s="1"/>
  <c r="I74" i="14" s="1"/>
  <c r="I75" i="14" s="1"/>
  <c r="I76" i="14" s="1"/>
  <c r="I77" i="14" s="1"/>
  <c r="I78" i="14" s="1"/>
  <c r="I79" i="14" s="1"/>
  <c r="I80" i="14" s="1"/>
  <c r="I81" i="14" s="1"/>
  <c r="I82" i="14" s="1"/>
  <c r="I83" i="14" s="1"/>
  <c r="I84" i="14" s="1"/>
  <c r="I85" i="14" s="1"/>
  <c r="I86" i="14" s="1"/>
  <c r="I87" i="14" s="1"/>
  <c r="I88" i="14" s="1"/>
  <c r="I89" i="14" s="1"/>
  <c r="I90" i="14" s="1"/>
  <c r="I91" i="14" s="1"/>
  <c r="I92" i="14" s="1"/>
  <c r="I93" i="14" s="1"/>
  <c r="I94" i="14" s="1"/>
  <c r="I95" i="14" s="1"/>
  <c r="I96" i="14" s="1"/>
  <c r="I97" i="14" s="1"/>
  <c r="I98" i="14" s="1"/>
  <c r="I99" i="14" s="1"/>
  <c r="I100" i="14" s="1"/>
  <c r="I101" i="14" s="1"/>
  <c r="I102" i="14" s="1"/>
  <c r="I103" i="14" s="1"/>
  <c r="I104" i="14" s="1"/>
  <c r="I105" i="14" s="1"/>
  <c r="I106" i="14" s="1"/>
  <c r="I107" i="14" s="1"/>
  <c r="I108" i="14" s="1"/>
  <c r="I109" i="14" s="1"/>
  <c r="I110" i="14" s="1"/>
  <c r="I111" i="14" s="1"/>
  <c r="I112" i="14" s="1"/>
  <c r="I113" i="14" s="1"/>
  <c r="I114" i="14" s="1"/>
  <c r="I115" i="14" s="1"/>
  <c r="I116" i="14" s="1"/>
  <c r="I117" i="14" s="1"/>
  <c r="I118" i="14" s="1"/>
  <c r="I119" i="14" s="1"/>
  <c r="I120" i="14" s="1"/>
  <c r="I121" i="14" s="1"/>
  <c r="I122" i="14" s="1"/>
  <c r="I123" i="14" s="1"/>
  <c r="I124" i="14" s="1"/>
  <c r="I125" i="14" s="1"/>
  <c r="I126" i="14" s="1"/>
  <c r="I127" i="14" s="1"/>
  <c r="I128" i="14" s="1"/>
  <c r="I129" i="14" s="1"/>
  <c r="I130" i="14" s="1"/>
  <c r="I131" i="14" s="1"/>
  <c r="I132" i="14" s="1"/>
  <c r="I133" i="14" s="1"/>
  <c r="I134" i="14" s="1"/>
  <c r="I135" i="14" s="1"/>
  <c r="I136" i="14" s="1"/>
  <c r="I137" i="14" s="1"/>
  <c r="I138" i="14" s="1"/>
  <c r="I139" i="14" s="1"/>
  <c r="I140" i="14" s="1"/>
  <c r="I141" i="14" s="1"/>
  <c r="I142" i="14" s="1"/>
  <c r="I143" i="14" s="1"/>
  <c r="I144" i="14" s="1"/>
  <c r="I145" i="14" s="1"/>
  <c r="I146" i="14" s="1"/>
  <c r="I147" i="14" s="1"/>
  <c r="I148" i="14" s="1"/>
  <c r="I149" i="14" s="1"/>
  <c r="I150" i="14" s="1"/>
  <c r="I151" i="14" s="1"/>
  <c r="I152" i="14" s="1"/>
  <c r="I153" i="14" s="1"/>
  <c r="I154" i="14" s="1"/>
  <c r="I155" i="14" s="1"/>
  <c r="I156" i="14" s="1"/>
  <c r="I157" i="14" s="1"/>
  <c r="I158" i="14" s="1"/>
  <c r="I159" i="14" s="1"/>
  <c r="I160" i="14" s="1"/>
  <c r="I161" i="14" s="1"/>
  <c r="I162" i="14" s="1"/>
  <c r="I163" i="14" s="1"/>
  <c r="I164" i="14" s="1"/>
  <c r="I165" i="14" s="1"/>
  <c r="I166" i="14" s="1"/>
  <c r="I167" i="14" s="1"/>
  <c r="I168" i="14" s="1"/>
  <c r="I169" i="14" s="1"/>
  <c r="I170" i="14" s="1"/>
  <c r="I171" i="14" s="1"/>
  <c r="I172" i="14" s="1"/>
  <c r="I173" i="14" s="1"/>
  <c r="I174" i="14" s="1"/>
  <c r="I175" i="14" s="1"/>
  <c r="I176" i="14" s="1"/>
  <c r="I177" i="14" s="1"/>
  <c r="I178" i="14" s="1"/>
  <c r="I179" i="14" s="1"/>
  <c r="I180" i="14" s="1"/>
  <c r="I181" i="14" s="1"/>
  <c r="I182" i="14" s="1"/>
  <c r="I183" i="14" s="1"/>
  <c r="I184" i="14" s="1"/>
  <c r="I185" i="14" s="1"/>
  <c r="I186" i="14" s="1"/>
  <c r="I187" i="14" s="1"/>
  <c r="I188" i="14" s="1"/>
  <c r="I189" i="14" s="1"/>
  <c r="I190" i="14" s="1"/>
  <c r="I191" i="14" s="1"/>
  <c r="I192" i="14" s="1"/>
  <c r="I193" i="14" s="1"/>
  <c r="I194" i="14" s="1"/>
  <c r="I195" i="14" s="1"/>
  <c r="I196" i="14" s="1"/>
  <c r="I197" i="14" s="1"/>
  <c r="I198" i="14" s="1"/>
  <c r="I199" i="14" s="1"/>
  <c r="I200" i="14" s="1"/>
  <c r="I201" i="14" s="1"/>
  <c r="I202" i="14" s="1"/>
  <c r="I203" i="14" s="1"/>
  <c r="I204" i="14" s="1"/>
  <c r="I205" i="14" s="1"/>
  <c r="I206" i="14" s="1"/>
  <c r="I207" i="14" s="1"/>
  <c r="I208" i="14" s="1"/>
  <c r="I209" i="14" s="1"/>
  <c r="I210" i="14" s="1"/>
  <c r="I211" i="14" s="1"/>
  <c r="I212" i="14" s="1"/>
  <c r="I213" i="14" s="1"/>
  <c r="I214" i="14" s="1"/>
  <c r="I215" i="14" s="1"/>
  <c r="I216" i="14" s="1"/>
  <c r="I217" i="14" s="1"/>
  <c r="I218" i="14" s="1"/>
  <c r="I219" i="14" s="1"/>
  <c r="I220" i="14" s="1"/>
  <c r="I221" i="14" s="1"/>
  <c r="I222" i="14" s="1"/>
  <c r="I223" i="14" s="1"/>
  <c r="I224" i="14" s="1"/>
  <c r="I225" i="14" s="1"/>
  <c r="I226" i="14" s="1"/>
  <c r="I227" i="14" s="1"/>
  <c r="I228" i="14" s="1"/>
  <c r="I229" i="14" s="1"/>
  <c r="I230" i="14" s="1"/>
  <c r="I231" i="14" s="1"/>
  <c r="I232" i="14" s="1"/>
  <c r="I233" i="14" s="1"/>
  <c r="I234" i="14" s="1"/>
  <c r="I235" i="14" s="1"/>
  <c r="I236" i="14" s="1"/>
  <c r="I237" i="14" s="1"/>
  <c r="I238" i="14" s="1"/>
  <c r="I239" i="14" s="1"/>
  <c r="I240" i="14" s="1"/>
  <c r="I241" i="14" s="1"/>
  <c r="I242" i="14" s="1"/>
  <c r="K19" i="14"/>
  <c r="K20" i="14"/>
  <c r="E42" i="14"/>
  <c r="E40" i="14"/>
  <c r="G40" i="14"/>
  <c r="G42" i="14"/>
  <c r="I16" i="14"/>
  <c r="I18" i="14"/>
  <c r="D42" i="14"/>
  <c r="I14" i="14"/>
  <c r="D16" i="14"/>
  <c r="D18" i="14"/>
  <c r="H19" i="14"/>
  <c r="H20" i="14"/>
  <c r="G14" i="14"/>
  <c r="G16" i="14"/>
  <c r="G18" i="14"/>
  <c r="F40" i="14"/>
  <c r="F43" i="14" s="1"/>
  <c r="F44" i="14" s="1"/>
  <c r="F45" i="14" s="1"/>
  <c r="F46" i="14" s="1"/>
  <c r="F47" i="14" s="1"/>
  <c r="F48" i="14" s="1"/>
  <c r="F49" i="14" s="1"/>
  <c r="F50" i="14" s="1"/>
  <c r="F51" i="14" s="1"/>
  <c r="F52" i="14" s="1"/>
  <c r="F53" i="14" s="1"/>
  <c r="F54" i="14" s="1"/>
  <c r="F55" i="14" s="1"/>
  <c r="F56" i="14" s="1"/>
  <c r="F57" i="14" s="1"/>
  <c r="F58" i="14" s="1"/>
  <c r="F59" i="14" s="1"/>
  <c r="F60" i="14" s="1"/>
  <c r="F61" i="14" s="1"/>
  <c r="F62" i="14" s="1"/>
  <c r="F63" i="14" s="1"/>
  <c r="F64" i="14" s="1"/>
  <c r="F65" i="14" s="1"/>
  <c r="F66" i="14" s="1"/>
  <c r="F67" i="14" s="1"/>
  <c r="F68" i="14" s="1"/>
  <c r="F69" i="14" s="1"/>
  <c r="F70" i="14" s="1"/>
  <c r="F71" i="14" s="1"/>
  <c r="F72" i="14" s="1"/>
  <c r="F73" i="14" s="1"/>
  <c r="F74" i="14" s="1"/>
  <c r="F75" i="14" s="1"/>
  <c r="F76" i="14" s="1"/>
  <c r="F77" i="14" s="1"/>
  <c r="F78" i="14" s="1"/>
  <c r="F79" i="14" s="1"/>
  <c r="F80" i="14" s="1"/>
  <c r="F81" i="14" s="1"/>
  <c r="F82" i="14" s="1"/>
  <c r="F83" i="14" s="1"/>
  <c r="F84" i="14" s="1"/>
  <c r="F85" i="14" s="1"/>
  <c r="F86" i="14" s="1"/>
  <c r="F87" i="14" s="1"/>
  <c r="F88" i="14" s="1"/>
  <c r="F89" i="14" s="1"/>
  <c r="F90" i="14" s="1"/>
  <c r="F91" i="14" s="1"/>
  <c r="F92" i="14" s="1"/>
  <c r="F93" i="14" s="1"/>
  <c r="F94" i="14" s="1"/>
  <c r="F95" i="14" s="1"/>
  <c r="F96" i="14" s="1"/>
  <c r="F97" i="14" s="1"/>
  <c r="F98" i="14" s="1"/>
  <c r="F99" i="14" s="1"/>
  <c r="F100" i="14" s="1"/>
  <c r="F101" i="14" s="1"/>
  <c r="F102" i="14" s="1"/>
  <c r="F103" i="14" s="1"/>
  <c r="F104" i="14" s="1"/>
  <c r="F105" i="14" s="1"/>
  <c r="F106" i="14" s="1"/>
  <c r="F107" i="14" s="1"/>
  <c r="F108" i="14" s="1"/>
  <c r="F109" i="14" s="1"/>
  <c r="F110" i="14" s="1"/>
  <c r="F111" i="14" s="1"/>
  <c r="F112" i="14" s="1"/>
  <c r="F113" i="14" s="1"/>
  <c r="F114" i="14" s="1"/>
  <c r="F115" i="14" s="1"/>
  <c r="F116" i="14" s="1"/>
  <c r="F117" i="14" s="1"/>
  <c r="F118" i="14" s="1"/>
  <c r="F119" i="14" s="1"/>
  <c r="F120" i="14" s="1"/>
  <c r="F121" i="14" s="1"/>
  <c r="F122" i="14" s="1"/>
  <c r="F123" i="14" s="1"/>
  <c r="F124" i="14" s="1"/>
  <c r="F125" i="14" s="1"/>
  <c r="F126" i="14" s="1"/>
  <c r="F127" i="14" s="1"/>
  <c r="F128" i="14" s="1"/>
  <c r="F129" i="14" s="1"/>
  <c r="F130" i="14" s="1"/>
  <c r="F131" i="14" s="1"/>
  <c r="F132" i="14" s="1"/>
  <c r="F133" i="14" s="1"/>
  <c r="F134" i="14" s="1"/>
  <c r="F135" i="14" s="1"/>
  <c r="F136" i="14" s="1"/>
  <c r="F137" i="14" s="1"/>
  <c r="F138" i="14" s="1"/>
  <c r="F139" i="14" s="1"/>
  <c r="F140" i="14" s="1"/>
  <c r="F141" i="14" s="1"/>
  <c r="F142" i="14" s="1"/>
  <c r="F143" i="14" s="1"/>
  <c r="F144" i="14" s="1"/>
  <c r="F145" i="14" s="1"/>
  <c r="F146" i="14" s="1"/>
  <c r="F147" i="14" s="1"/>
  <c r="F148" i="14" s="1"/>
  <c r="F149" i="14" s="1"/>
  <c r="F150" i="14" s="1"/>
  <c r="F151" i="14" s="1"/>
  <c r="F152" i="14" s="1"/>
  <c r="F153" i="14" s="1"/>
  <c r="F154" i="14" s="1"/>
  <c r="F155" i="14" s="1"/>
  <c r="F156" i="14" s="1"/>
  <c r="F157" i="14" s="1"/>
  <c r="F158" i="14" s="1"/>
  <c r="F159" i="14" s="1"/>
  <c r="F160" i="14" s="1"/>
  <c r="F161" i="14" s="1"/>
  <c r="F162" i="14" s="1"/>
  <c r="F163" i="14" s="1"/>
  <c r="F164" i="14" s="1"/>
  <c r="F165" i="14" s="1"/>
  <c r="F166" i="14" s="1"/>
  <c r="F167" i="14" s="1"/>
  <c r="F168" i="14" s="1"/>
  <c r="F169" i="14" s="1"/>
  <c r="F170" i="14" s="1"/>
  <c r="F171" i="14" s="1"/>
  <c r="F172" i="14" s="1"/>
  <c r="F173" i="14" s="1"/>
  <c r="F174" i="14" s="1"/>
  <c r="F175" i="14" s="1"/>
  <c r="F176" i="14" s="1"/>
  <c r="F177" i="14" s="1"/>
  <c r="F178" i="14" s="1"/>
  <c r="F179" i="14" s="1"/>
  <c r="F180" i="14" s="1"/>
  <c r="F181" i="14" s="1"/>
  <c r="F182" i="14" s="1"/>
  <c r="F183" i="14" s="1"/>
  <c r="F184" i="14" s="1"/>
  <c r="F185" i="14" s="1"/>
  <c r="F186" i="14" s="1"/>
  <c r="F187" i="14" s="1"/>
  <c r="F188" i="14" s="1"/>
  <c r="F189" i="14" s="1"/>
  <c r="F190" i="14" s="1"/>
  <c r="F191" i="14" s="1"/>
  <c r="F192" i="14" s="1"/>
  <c r="F193" i="14" s="1"/>
  <c r="F194" i="14" s="1"/>
  <c r="F195" i="14" s="1"/>
  <c r="F196" i="14" s="1"/>
  <c r="F197" i="14" s="1"/>
  <c r="F198" i="14" s="1"/>
  <c r="F199" i="14" s="1"/>
  <c r="F200" i="14" s="1"/>
  <c r="F201" i="14" s="1"/>
  <c r="F202" i="14" s="1"/>
  <c r="F203" i="14" s="1"/>
  <c r="F204" i="14" s="1"/>
  <c r="F205" i="14" s="1"/>
  <c r="F206" i="14" s="1"/>
  <c r="F207" i="14" s="1"/>
  <c r="F208" i="14" s="1"/>
  <c r="F209" i="14" s="1"/>
  <c r="F210" i="14" s="1"/>
  <c r="F211" i="14" s="1"/>
  <c r="F212" i="14" s="1"/>
  <c r="F213" i="14" s="1"/>
  <c r="F214" i="14" s="1"/>
  <c r="F215" i="14" s="1"/>
  <c r="F216" i="14" s="1"/>
  <c r="F217" i="14" s="1"/>
  <c r="F218" i="14" s="1"/>
  <c r="F219" i="14" s="1"/>
  <c r="F220" i="14" s="1"/>
  <c r="F221" i="14" s="1"/>
  <c r="F222" i="14" s="1"/>
  <c r="F223" i="14" s="1"/>
  <c r="F224" i="14" s="1"/>
  <c r="F225" i="14" s="1"/>
  <c r="F226" i="14" s="1"/>
  <c r="F227" i="14" s="1"/>
  <c r="F228" i="14" s="1"/>
  <c r="F229" i="14" s="1"/>
  <c r="F230" i="14" s="1"/>
  <c r="F231" i="14" s="1"/>
  <c r="F232" i="14" s="1"/>
  <c r="F233" i="14" s="1"/>
  <c r="F234" i="14" s="1"/>
  <c r="F235" i="14" s="1"/>
  <c r="F236" i="14" s="1"/>
  <c r="F237" i="14" s="1"/>
  <c r="F238" i="14" s="1"/>
  <c r="F239" i="14" s="1"/>
  <c r="F240" i="14" s="1"/>
  <c r="F241" i="14" s="1"/>
  <c r="F242" i="14" s="1"/>
  <c r="E19" i="14" l="1"/>
  <c r="E20" i="14"/>
  <c r="G43" i="14"/>
  <c r="G44" i="14" s="1"/>
  <c r="G45" i="14" s="1"/>
  <c r="G46" i="14" s="1"/>
  <c r="G47" i="14" s="1"/>
  <c r="G48" i="14" s="1"/>
  <c r="G49" i="14" s="1"/>
  <c r="G50" i="14" s="1"/>
  <c r="G51" i="14" s="1"/>
  <c r="G52" i="14" s="1"/>
  <c r="G53" i="14" s="1"/>
  <c r="G54" i="14" s="1"/>
  <c r="G55" i="14" s="1"/>
  <c r="G56" i="14" s="1"/>
  <c r="G57" i="14" s="1"/>
  <c r="G58" i="14" s="1"/>
  <c r="G59" i="14" s="1"/>
  <c r="G60" i="14" s="1"/>
  <c r="G61" i="14" s="1"/>
  <c r="G62" i="14" s="1"/>
  <c r="G63" i="14" s="1"/>
  <c r="G64" i="14" s="1"/>
  <c r="G65" i="14" s="1"/>
  <c r="G66" i="14" s="1"/>
  <c r="G67" i="14" s="1"/>
  <c r="G68" i="14" s="1"/>
  <c r="G69" i="14" s="1"/>
  <c r="G70" i="14" s="1"/>
  <c r="G71" i="14" s="1"/>
  <c r="G72" i="14" s="1"/>
  <c r="G73" i="14" s="1"/>
  <c r="G74" i="14" s="1"/>
  <c r="G75" i="14" s="1"/>
  <c r="G76" i="14" s="1"/>
  <c r="G77" i="14" s="1"/>
  <c r="G78" i="14" s="1"/>
  <c r="G79" i="14" s="1"/>
  <c r="G80" i="14" s="1"/>
  <c r="G81" i="14" s="1"/>
  <c r="G82" i="14" s="1"/>
  <c r="G83" i="14" s="1"/>
  <c r="G84" i="14" s="1"/>
  <c r="G85" i="14" s="1"/>
  <c r="G86" i="14" s="1"/>
  <c r="G87" i="14" s="1"/>
  <c r="G88" i="14" s="1"/>
  <c r="G89" i="14" s="1"/>
  <c r="G90" i="14" s="1"/>
  <c r="G91" i="14" s="1"/>
  <c r="G92" i="14" s="1"/>
  <c r="G93" i="14" s="1"/>
  <c r="G94" i="14" s="1"/>
  <c r="G95" i="14" s="1"/>
  <c r="G96" i="14" s="1"/>
  <c r="G97" i="14" s="1"/>
  <c r="G98" i="14" s="1"/>
  <c r="G99" i="14" s="1"/>
  <c r="G100" i="14" s="1"/>
  <c r="G101" i="14" s="1"/>
  <c r="G102" i="14" s="1"/>
  <c r="G103" i="14" s="1"/>
  <c r="G104" i="14" s="1"/>
  <c r="G105" i="14" s="1"/>
  <c r="G106" i="14" s="1"/>
  <c r="G107" i="14" s="1"/>
  <c r="G108" i="14" s="1"/>
  <c r="G109" i="14" s="1"/>
  <c r="G110" i="14" s="1"/>
  <c r="G111" i="14" s="1"/>
  <c r="G112" i="14" s="1"/>
  <c r="G113" i="14" s="1"/>
  <c r="G114" i="14" s="1"/>
  <c r="G115" i="14" s="1"/>
  <c r="G116" i="14" s="1"/>
  <c r="G117" i="14" s="1"/>
  <c r="G118" i="14" s="1"/>
  <c r="G119" i="14" s="1"/>
  <c r="G120" i="14" s="1"/>
  <c r="G121" i="14" s="1"/>
  <c r="G122" i="14" s="1"/>
  <c r="G123" i="14" s="1"/>
  <c r="G124" i="14" s="1"/>
  <c r="G125" i="14" s="1"/>
  <c r="G126" i="14" s="1"/>
  <c r="G127" i="14" s="1"/>
  <c r="G128" i="14" s="1"/>
  <c r="G129" i="14" s="1"/>
  <c r="G130" i="14" s="1"/>
  <c r="G131" i="14" s="1"/>
  <c r="G132" i="14" s="1"/>
  <c r="G133" i="14" s="1"/>
  <c r="G134" i="14" s="1"/>
  <c r="G135" i="14" s="1"/>
  <c r="G136" i="14" s="1"/>
  <c r="G137" i="14" s="1"/>
  <c r="G138" i="14" s="1"/>
  <c r="G139" i="14" s="1"/>
  <c r="G140" i="14" s="1"/>
  <c r="G141" i="14" s="1"/>
  <c r="G142" i="14" s="1"/>
  <c r="G143" i="14" s="1"/>
  <c r="G144" i="14" s="1"/>
  <c r="G145" i="14" s="1"/>
  <c r="G146" i="14" s="1"/>
  <c r="G147" i="14" s="1"/>
  <c r="G148" i="14" s="1"/>
  <c r="G149" i="14" s="1"/>
  <c r="G150" i="14" s="1"/>
  <c r="G151" i="14" s="1"/>
  <c r="G152" i="14" s="1"/>
  <c r="G153" i="14" s="1"/>
  <c r="G154" i="14" s="1"/>
  <c r="G155" i="14" s="1"/>
  <c r="G156" i="14" s="1"/>
  <c r="G157" i="14" s="1"/>
  <c r="G158" i="14" s="1"/>
  <c r="G159" i="14" s="1"/>
  <c r="G160" i="14" s="1"/>
  <c r="G161" i="14" s="1"/>
  <c r="G162" i="14" s="1"/>
  <c r="G163" i="14" s="1"/>
  <c r="G164" i="14" s="1"/>
  <c r="G165" i="14" s="1"/>
  <c r="G166" i="14" s="1"/>
  <c r="G167" i="14" s="1"/>
  <c r="G168" i="14" s="1"/>
  <c r="G169" i="14" s="1"/>
  <c r="G170" i="14" s="1"/>
  <c r="G171" i="14" s="1"/>
  <c r="G172" i="14" s="1"/>
  <c r="G173" i="14" s="1"/>
  <c r="G174" i="14" s="1"/>
  <c r="G175" i="14" s="1"/>
  <c r="G176" i="14" s="1"/>
  <c r="G177" i="14" s="1"/>
  <c r="G178" i="14" s="1"/>
  <c r="G179" i="14" s="1"/>
  <c r="G180" i="14" s="1"/>
  <c r="G181" i="14" s="1"/>
  <c r="G182" i="14" s="1"/>
  <c r="G183" i="14" s="1"/>
  <c r="G184" i="14" s="1"/>
  <c r="G185" i="14" s="1"/>
  <c r="G186" i="14" s="1"/>
  <c r="G187" i="14" s="1"/>
  <c r="G188" i="14" s="1"/>
  <c r="G189" i="14" s="1"/>
  <c r="G190" i="14" s="1"/>
  <c r="G191" i="14" s="1"/>
  <c r="G192" i="14" s="1"/>
  <c r="G193" i="14" s="1"/>
  <c r="G194" i="14" s="1"/>
  <c r="G195" i="14" s="1"/>
  <c r="G196" i="14" s="1"/>
  <c r="G197" i="14" s="1"/>
  <c r="G198" i="14" s="1"/>
  <c r="G199" i="14" s="1"/>
  <c r="G200" i="14" s="1"/>
  <c r="G201" i="14" s="1"/>
  <c r="G202" i="14" s="1"/>
  <c r="G203" i="14" s="1"/>
  <c r="G204" i="14" s="1"/>
  <c r="G205" i="14" s="1"/>
  <c r="G206" i="14" s="1"/>
  <c r="G207" i="14" s="1"/>
  <c r="G208" i="14" s="1"/>
  <c r="G209" i="14" s="1"/>
  <c r="G210" i="14" s="1"/>
  <c r="G211" i="14" s="1"/>
  <c r="G212" i="14" s="1"/>
  <c r="G213" i="14" s="1"/>
  <c r="G214" i="14" s="1"/>
  <c r="G215" i="14" s="1"/>
  <c r="G216" i="14" s="1"/>
  <c r="G217" i="14" s="1"/>
  <c r="G218" i="14" s="1"/>
  <c r="G219" i="14" s="1"/>
  <c r="G220" i="14" s="1"/>
  <c r="G221" i="14" s="1"/>
  <c r="G222" i="14" s="1"/>
  <c r="G223" i="14" s="1"/>
  <c r="G224" i="14" s="1"/>
  <c r="G225" i="14" s="1"/>
  <c r="G226" i="14" s="1"/>
  <c r="G227" i="14" s="1"/>
  <c r="G228" i="14" s="1"/>
  <c r="G229" i="14" s="1"/>
  <c r="G230" i="14" s="1"/>
  <c r="G231" i="14" s="1"/>
  <c r="G232" i="14" s="1"/>
  <c r="G233" i="14" s="1"/>
  <c r="G234" i="14" s="1"/>
  <c r="G235" i="14" s="1"/>
  <c r="G236" i="14" s="1"/>
  <c r="G237" i="14" s="1"/>
  <c r="G238" i="14" s="1"/>
  <c r="G239" i="14" s="1"/>
  <c r="G240" i="14" s="1"/>
  <c r="G241" i="14" s="1"/>
  <c r="G242" i="14" s="1"/>
  <c r="E43" i="14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43" i="14" s="1"/>
  <c r="E144" i="14" s="1"/>
  <c r="E145" i="14" s="1"/>
  <c r="E146" i="14" s="1"/>
  <c r="E147" i="14" s="1"/>
  <c r="E148" i="14" s="1"/>
  <c r="E149" i="14" s="1"/>
  <c r="E150" i="14" s="1"/>
  <c r="E151" i="14" s="1"/>
  <c r="E152" i="14" s="1"/>
  <c r="E153" i="14" s="1"/>
  <c r="E154" i="14" s="1"/>
  <c r="E155" i="14" s="1"/>
  <c r="E156" i="14" s="1"/>
  <c r="E157" i="14" s="1"/>
  <c r="E158" i="14" s="1"/>
  <c r="E159" i="14" s="1"/>
  <c r="E160" i="14" s="1"/>
  <c r="E161" i="14" s="1"/>
  <c r="E162" i="14" s="1"/>
  <c r="E163" i="14" s="1"/>
  <c r="E164" i="14" s="1"/>
  <c r="E165" i="14" s="1"/>
  <c r="E166" i="14" s="1"/>
  <c r="E167" i="14" s="1"/>
  <c r="E168" i="14" s="1"/>
  <c r="E169" i="14" s="1"/>
  <c r="E170" i="14" s="1"/>
  <c r="E171" i="14" s="1"/>
  <c r="E172" i="14" s="1"/>
  <c r="E173" i="14" s="1"/>
  <c r="E174" i="14" s="1"/>
  <c r="E175" i="14" s="1"/>
  <c r="E176" i="14" s="1"/>
  <c r="E177" i="14" s="1"/>
  <c r="E178" i="14" s="1"/>
  <c r="E179" i="14" s="1"/>
  <c r="E180" i="14" s="1"/>
  <c r="E181" i="14" s="1"/>
  <c r="E182" i="14" s="1"/>
  <c r="E183" i="14" s="1"/>
  <c r="E184" i="14" s="1"/>
  <c r="E185" i="14" s="1"/>
  <c r="E186" i="14" s="1"/>
  <c r="E187" i="14" s="1"/>
  <c r="E188" i="14" s="1"/>
  <c r="E189" i="14" s="1"/>
  <c r="E190" i="14" s="1"/>
  <c r="E191" i="14" s="1"/>
  <c r="E192" i="14" s="1"/>
  <c r="E193" i="14" s="1"/>
  <c r="E194" i="14" s="1"/>
  <c r="E195" i="14" s="1"/>
  <c r="E196" i="14" s="1"/>
  <c r="E197" i="14" s="1"/>
  <c r="E198" i="14" s="1"/>
  <c r="E199" i="14" s="1"/>
  <c r="E200" i="14" s="1"/>
  <c r="E201" i="14" s="1"/>
  <c r="E202" i="14" s="1"/>
  <c r="E203" i="14" s="1"/>
  <c r="E204" i="14" s="1"/>
  <c r="E205" i="14" s="1"/>
  <c r="E206" i="14" s="1"/>
  <c r="E207" i="14" s="1"/>
  <c r="E208" i="14" s="1"/>
  <c r="E209" i="14" s="1"/>
  <c r="E210" i="14" s="1"/>
  <c r="E211" i="14" s="1"/>
  <c r="E212" i="14" s="1"/>
  <c r="E213" i="14" s="1"/>
  <c r="E214" i="14" s="1"/>
  <c r="E215" i="14" s="1"/>
  <c r="E216" i="14" s="1"/>
  <c r="E217" i="14" s="1"/>
  <c r="E218" i="14" s="1"/>
  <c r="E219" i="14" s="1"/>
  <c r="E220" i="14" s="1"/>
  <c r="E221" i="14" s="1"/>
  <c r="E222" i="14" s="1"/>
  <c r="E223" i="14" s="1"/>
  <c r="E224" i="14" s="1"/>
  <c r="E225" i="14" s="1"/>
  <c r="E226" i="14" s="1"/>
  <c r="E227" i="14" s="1"/>
  <c r="E228" i="14" s="1"/>
  <c r="E229" i="14" s="1"/>
  <c r="E230" i="14" s="1"/>
  <c r="E231" i="14" s="1"/>
  <c r="E232" i="14" s="1"/>
  <c r="E233" i="14" s="1"/>
  <c r="E234" i="14" s="1"/>
  <c r="E235" i="14" s="1"/>
  <c r="E236" i="14" s="1"/>
  <c r="E237" i="14" s="1"/>
  <c r="E238" i="14" s="1"/>
  <c r="E239" i="14" s="1"/>
  <c r="E240" i="14" s="1"/>
  <c r="E241" i="14" s="1"/>
  <c r="E242" i="14" s="1"/>
  <c r="D43" i="14"/>
  <c r="D44" i="14" s="1"/>
  <c r="D45" i="14" s="1"/>
  <c r="D46" i="14" s="1"/>
  <c r="D47" i="14" s="1"/>
  <c r="D48" i="14" s="1"/>
  <c r="D49" i="14" s="1"/>
  <c r="D50" i="14" s="1"/>
  <c r="D51" i="14" s="1"/>
  <c r="D52" i="14" s="1"/>
  <c r="D53" i="14" s="1"/>
  <c r="D54" i="14" s="1"/>
  <c r="D55" i="14" s="1"/>
  <c r="D56" i="14" s="1"/>
  <c r="D57" i="14" s="1"/>
  <c r="D58" i="14" s="1"/>
  <c r="D59" i="14" s="1"/>
  <c r="D60" i="14" s="1"/>
  <c r="D61" i="14" s="1"/>
  <c r="D62" i="14" s="1"/>
  <c r="D63" i="14" s="1"/>
  <c r="D64" i="14" s="1"/>
  <c r="D65" i="14" s="1"/>
  <c r="D66" i="14" s="1"/>
  <c r="D67" i="14" s="1"/>
  <c r="D68" i="14" s="1"/>
  <c r="D69" i="14" s="1"/>
  <c r="D70" i="14" s="1"/>
  <c r="D71" i="14" s="1"/>
  <c r="D72" i="14" s="1"/>
  <c r="D73" i="14" s="1"/>
  <c r="D74" i="14" s="1"/>
  <c r="D75" i="14" s="1"/>
  <c r="D76" i="14" s="1"/>
  <c r="D77" i="14" s="1"/>
  <c r="D78" i="14" s="1"/>
  <c r="D79" i="14" s="1"/>
  <c r="D80" i="14" s="1"/>
  <c r="D81" i="14" s="1"/>
  <c r="D82" i="14" s="1"/>
  <c r="D83" i="14" s="1"/>
  <c r="D84" i="14" s="1"/>
  <c r="D85" i="14" s="1"/>
  <c r="D86" i="14" s="1"/>
  <c r="D87" i="14" s="1"/>
  <c r="D88" i="14" s="1"/>
  <c r="D89" i="14" s="1"/>
  <c r="D90" i="14" s="1"/>
  <c r="D91" i="14" s="1"/>
  <c r="D92" i="14" s="1"/>
  <c r="D93" i="14" s="1"/>
  <c r="D94" i="14" s="1"/>
  <c r="D95" i="14" s="1"/>
  <c r="D96" i="14" s="1"/>
  <c r="D97" i="14" s="1"/>
  <c r="D98" i="14" s="1"/>
  <c r="D99" i="14" s="1"/>
  <c r="D100" i="14" s="1"/>
  <c r="D101" i="14" s="1"/>
  <c r="D102" i="14" s="1"/>
  <c r="D103" i="14" s="1"/>
  <c r="D104" i="14" s="1"/>
  <c r="D105" i="14" s="1"/>
  <c r="D106" i="14" s="1"/>
  <c r="D107" i="14" s="1"/>
  <c r="D108" i="14" s="1"/>
  <c r="D109" i="14" s="1"/>
  <c r="D110" i="14" s="1"/>
  <c r="D111" i="14" s="1"/>
  <c r="D112" i="14" s="1"/>
  <c r="D113" i="14" s="1"/>
  <c r="D114" i="14" s="1"/>
  <c r="D115" i="14" s="1"/>
  <c r="D116" i="14" s="1"/>
  <c r="D117" i="14" s="1"/>
  <c r="D118" i="14" s="1"/>
  <c r="D119" i="14" s="1"/>
  <c r="D120" i="14" s="1"/>
  <c r="D121" i="14" s="1"/>
  <c r="D122" i="14" s="1"/>
  <c r="D123" i="14" s="1"/>
  <c r="D124" i="14" s="1"/>
  <c r="D125" i="14" s="1"/>
  <c r="D126" i="14" s="1"/>
  <c r="D127" i="14" s="1"/>
  <c r="D128" i="14" s="1"/>
  <c r="D129" i="14" s="1"/>
  <c r="D130" i="14" s="1"/>
  <c r="D131" i="14" s="1"/>
  <c r="D132" i="14" s="1"/>
  <c r="D133" i="14" s="1"/>
  <c r="D134" i="14" s="1"/>
  <c r="D135" i="14" s="1"/>
  <c r="D136" i="14" s="1"/>
  <c r="D137" i="14" s="1"/>
  <c r="D138" i="14" s="1"/>
  <c r="D139" i="14" s="1"/>
  <c r="D140" i="14" s="1"/>
  <c r="D141" i="14" s="1"/>
  <c r="D142" i="14" s="1"/>
  <c r="D143" i="14" s="1"/>
  <c r="D144" i="14" s="1"/>
  <c r="D145" i="14" s="1"/>
  <c r="D146" i="14" s="1"/>
  <c r="D147" i="14" s="1"/>
  <c r="D148" i="14" s="1"/>
  <c r="D149" i="14" s="1"/>
  <c r="D150" i="14" s="1"/>
  <c r="D151" i="14" s="1"/>
  <c r="D152" i="14" s="1"/>
  <c r="D153" i="14" s="1"/>
  <c r="D154" i="14" s="1"/>
  <c r="D155" i="14" s="1"/>
  <c r="D156" i="14" s="1"/>
  <c r="D157" i="14" s="1"/>
  <c r="D158" i="14" s="1"/>
  <c r="D159" i="14" s="1"/>
  <c r="D160" i="14" s="1"/>
  <c r="D161" i="14" s="1"/>
  <c r="D162" i="14" s="1"/>
  <c r="D163" i="14" s="1"/>
  <c r="D164" i="14" s="1"/>
  <c r="D165" i="14" s="1"/>
  <c r="D166" i="14" s="1"/>
  <c r="D167" i="14" s="1"/>
  <c r="D168" i="14" s="1"/>
  <c r="D169" i="14" s="1"/>
  <c r="D170" i="14" s="1"/>
  <c r="D171" i="14" s="1"/>
  <c r="D172" i="14" s="1"/>
  <c r="D173" i="14" s="1"/>
  <c r="D174" i="14" s="1"/>
  <c r="D175" i="14" s="1"/>
  <c r="D176" i="14" s="1"/>
  <c r="D177" i="14" s="1"/>
  <c r="D178" i="14" s="1"/>
  <c r="D179" i="14" s="1"/>
  <c r="D180" i="14" s="1"/>
  <c r="D181" i="14" s="1"/>
  <c r="D182" i="14" s="1"/>
  <c r="D183" i="14" s="1"/>
  <c r="D184" i="14" s="1"/>
  <c r="D185" i="14" s="1"/>
  <c r="D186" i="14" s="1"/>
  <c r="D187" i="14" s="1"/>
  <c r="D188" i="14" s="1"/>
  <c r="D189" i="14" s="1"/>
  <c r="D190" i="14" s="1"/>
  <c r="D191" i="14" s="1"/>
  <c r="D192" i="14" s="1"/>
  <c r="D193" i="14" s="1"/>
  <c r="D194" i="14" s="1"/>
  <c r="D195" i="14" s="1"/>
  <c r="D196" i="14" s="1"/>
  <c r="D197" i="14" s="1"/>
  <c r="D198" i="14" s="1"/>
  <c r="D199" i="14" s="1"/>
  <c r="D200" i="14" s="1"/>
  <c r="D201" i="14" s="1"/>
  <c r="D202" i="14" s="1"/>
  <c r="D203" i="14" s="1"/>
  <c r="D204" i="14" s="1"/>
  <c r="D205" i="14" s="1"/>
  <c r="D206" i="14" s="1"/>
  <c r="D207" i="14" s="1"/>
  <c r="D208" i="14" s="1"/>
  <c r="D209" i="14" s="1"/>
  <c r="D210" i="14" s="1"/>
  <c r="D211" i="14" s="1"/>
  <c r="D212" i="14" s="1"/>
  <c r="D213" i="14" s="1"/>
  <c r="D214" i="14" s="1"/>
  <c r="D215" i="14" s="1"/>
  <c r="D216" i="14" s="1"/>
  <c r="D217" i="14" s="1"/>
  <c r="D218" i="14" s="1"/>
  <c r="D219" i="14" s="1"/>
  <c r="D220" i="14" s="1"/>
  <c r="D221" i="14" s="1"/>
  <c r="D222" i="14" s="1"/>
  <c r="D223" i="14" s="1"/>
  <c r="D224" i="14" s="1"/>
  <c r="D225" i="14" s="1"/>
  <c r="D226" i="14" s="1"/>
  <c r="D227" i="14" s="1"/>
  <c r="D228" i="14" s="1"/>
  <c r="D229" i="14" s="1"/>
  <c r="D230" i="14" s="1"/>
  <c r="D231" i="14" s="1"/>
  <c r="D232" i="14" s="1"/>
  <c r="D233" i="14" s="1"/>
  <c r="D234" i="14" s="1"/>
  <c r="D235" i="14" s="1"/>
  <c r="D236" i="14" s="1"/>
  <c r="D237" i="14" s="1"/>
  <c r="D238" i="14" s="1"/>
  <c r="D239" i="14" s="1"/>
  <c r="D240" i="14" s="1"/>
  <c r="D241" i="14" s="1"/>
  <c r="D242" i="14" s="1"/>
  <c r="G19" i="14"/>
  <c r="G20" i="14"/>
  <c r="D19" i="14"/>
  <c r="D20" i="14"/>
  <c r="I19" i="14"/>
  <c r="I20" i="14"/>
  <c r="L9" i="7" l="1"/>
  <c r="K9" i="7"/>
  <c r="J9" i="7"/>
  <c r="I9" i="7"/>
  <c r="H9" i="7"/>
  <c r="G9" i="7"/>
  <c r="F9" i="7"/>
  <c r="E9" i="7"/>
  <c r="D9" i="7"/>
  <c r="C9" i="7"/>
  <c r="L9" i="6"/>
  <c r="K9" i="6"/>
  <c r="J9" i="6"/>
  <c r="I9" i="6"/>
  <c r="H9" i="6"/>
  <c r="G9" i="6"/>
  <c r="F9" i="6"/>
  <c r="E9" i="6"/>
  <c r="D9" i="6"/>
  <c r="C9" i="6"/>
  <c r="L9" i="5"/>
  <c r="K9" i="5"/>
  <c r="J9" i="5"/>
  <c r="I9" i="5"/>
  <c r="H9" i="5"/>
  <c r="G9" i="5"/>
  <c r="F9" i="5"/>
  <c r="E9" i="5"/>
  <c r="D9" i="5"/>
  <c r="C9" i="5"/>
  <c r="L9" i="4"/>
  <c r="K9" i="4"/>
  <c r="J9" i="4"/>
  <c r="I9" i="4"/>
  <c r="H9" i="4"/>
  <c r="G9" i="4"/>
  <c r="F9" i="4"/>
  <c r="E9" i="4"/>
  <c r="D9" i="4"/>
  <c r="C9" i="4"/>
  <c r="L9" i="3"/>
  <c r="K9" i="3"/>
  <c r="J9" i="3"/>
  <c r="I9" i="3"/>
  <c r="H9" i="3"/>
  <c r="G9" i="3"/>
  <c r="F9" i="3"/>
  <c r="E9" i="3"/>
  <c r="D9" i="3"/>
  <c r="C9" i="3"/>
  <c r="N4" i="7"/>
  <c r="N5" i="7"/>
  <c r="P6" i="3"/>
  <c r="O6" i="3"/>
  <c r="N6" i="3"/>
  <c r="O5" i="3"/>
  <c r="N5" i="3"/>
  <c r="N4" i="3"/>
  <c r="P4" i="3"/>
  <c r="O4" i="3"/>
  <c r="L35" i="13" l="1"/>
  <c r="I35" i="13"/>
  <c r="G35" i="13"/>
  <c r="E35" i="13"/>
  <c r="D35" i="13"/>
  <c r="C35" i="13"/>
  <c r="L32" i="13"/>
  <c r="I32" i="13"/>
  <c r="G32" i="13"/>
  <c r="E32" i="13"/>
  <c r="D32" i="13"/>
  <c r="C32" i="13"/>
  <c r="L29" i="13"/>
  <c r="I29" i="13"/>
  <c r="G29" i="13"/>
  <c r="E29" i="13"/>
  <c r="D29" i="13"/>
  <c r="C29" i="13"/>
  <c r="L26" i="13"/>
  <c r="I26" i="13"/>
  <c r="G26" i="13"/>
  <c r="E26" i="13"/>
  <c r="D26" i="13"/>
  <c r="C26" i="13"/>
  <c r="L23" i="13"/>
  <c r="I23" i="13"/>
  <c r="G23" i="13"/>
  <c r="E23" i="13"/>
  <c r="D23" i="13"/>
  <c r="C23" i="13"/>
  <c r="L18" i="13"/>
  <c r="L20" i="13" s="1"/>
  <c r="I18" i="13"/>
  <c r="I19" i="13" s="1"/>
  <c r="G18" i="13"/>
  <c r="G19" i="13" s="1"/>
  <c r="E18" i="13"/>
  <c r="E20" i="13" s="1"/>
  <c r="D18" i="13"/>
  <c r="D20" i="13" s="1"/>
  <c r="C18" i="13"/>
  <c r="C20" i="13" s="1"/>
  <c r="L16" i="13"/>
  <c r="I16" i="13"/>
  <c r="G16" i="13"/>
  <c r="E16" i="13"/>
  <c r="D16" i="13"/>
  <c r="C16" i="13"/>
  <c r="L14" i="13"/>
  <c r="I14" i="13"/>
  <c r="G14" i="13"/>
  <c r="E14" i="13"/>
  <c r="D14" i="13"/>
  <c r="C14" i="13"/>
  <c r="P6" i="13"/>
  <c r="O6" i="13"/>
  <c r="N6" i="13"/>
  <c r="P5" i="13"/>
  <c r="O5" i="13"/>
  <c r="N5" i="13"/>
  <c r="P4" i="13"/>
  <c r="O4" i="13"/>
  <c r="N4" i="13"/>
  <c r="C19" i="13" l="1"/>
  <c r="D19" i="13"/>
  <c r="E19" i="13"/>
  <c r="L19" i="13"/>
  <c r="G20" i="13"/>
  <c r="I20" i="13"/>
  <c r="L35" i="12"/>
  <c r="J35" i="12"/>
  <c r="H35" i="12"/>
  <c r="D35" i="12"/>
  <c r="L32" i="12"/>
  <c r="J32" i="12"/>
  <c r="H32" i="12"/>
  <c r="D32" i="12"/>
  <c r="L29" i="12"/>
  <c r="J29" i="12"/>
  <c r="H29" i="12"/>
  <c r="D29" i="12"/>
  <c r="L26" i="12"/>
  <c r="J26" i="12"/>
  <c r="H26" i="12"/>
  <c r="D26" i="12"/>
  <c r="L23" i="12"/>
  <c r="J23" i="12"/>
  <c r="H23" i="12"/>
  <c r="D23" i="12"/>
  <c r="L18" i="12"/>
  <c r="L19" i="12" s="1"/>
  <c r="J18" i="12"/>
  <c r="J20" i="12" s="1"/>
  <c r="H18" i="12"/>
  <c r="H19" i="12" s="1"/>
  <c r="E18" i="12"/>
  <c r="E19" i="12" s="1"/>
  <c r="D18" i="12"/>
  <c r="D20" i="12" s="1"/>
  <c r="C18" i="12"/>
  <c r="C19" i="12" s="1"/>
  <c r="L16" i="12"/>
  <c r="J16" i="12"/>
  <c r="H16" i="12"/>
  <c r="E16" i="12"/>
  <c r="D16" i="12"/>
  <c r="C16" i="12"/>
  <c r="L14" i="12"/>
  <c r="J14" i="12"/>
  <c r="H14" i="12"/>
  <c r="E14" i="12"/>
  <c r="D14" i="12"/>
  <c r="C14" i="12"/>
  <c r="P6" i="12"/>
  <c r="O6" i="12"/>
  <c r="N6" i="12"/>
  <c r="P5" i="12"/>
  <c r="O5" i="12"/>
  <c r="N5" i="12"/>
  <c r="P4" i="12"/>
  <c r="O4" i="12"/>
  <c r="N4" i="12"/>
  <c r="L35" i="11"/>
  <c r="I35" i="11"/>
  <c r="H35" i="11"/>
  <c r="G35" i="11"/>
  <c r="E35" i="11"/>
  <c r="D35" i="11"/>
  <c r="C35" i="11"/>
  <c r="L32" i="11"/>
  <c r="I32" i="11"/>
  <c r="H32" i="11"/>
  <c r="G32" i="11"/>
  <c r="E32" i="11"/>
  <c r="D32" i="11"/>
  <c r="C32" i="11"/>
  <c r="L29" i="11"/>
  <c r="I29" i="11"/>
  <c r="H29" i="11"/>
  <c r="G29" i="11"/>
  <c r="E29" i="11"/>
  <c r="D29" i="11"/>
  <c r="C29" i="11"/>
  <c r="L26" i="11"/>
  <c r="I26" i="11"/>
  <c r="H26" i="11"/>
  <c r="G26" i="11"/>
  <c r="E26" i="11"/>
  <c r="D26" i="11"/>
  <c r="C26" i="11"/>
  <c r="L23" i="11"/>
  <c r="I23" i="11"/>
  <c r="H23" i="11"/>
  <c r="G23" i="11"/>
  <c r="E23" i="11"/>
  <c r="D23" i="11"/>
  <c r="C23" i="11"/>
  <c r="L18" i="11"/>
  <c r="L20" i="11" s="1"/>
  <c r="I18" i="11"/>
  <c r="I20" i="11" s="1"/>
  <c r="H18" i="11"/>
  <c r="H19" i="11" s="1"/>
  <c r="G18" i="11"/>
  <c r="G19" i="11" s="1"/>
  <c r="E18" i="11"/>
  <c r="E19" i="11" s="1"/>
  <c r="D18" i="11"/>
  <c r="D19" i="11" s="1"/>
  <c r="C18" i="11"/>
  <c r="C20" i="11" s="1"/>
  <c r="L16" i="11"/>
  <c r="I16" i="11"/>
  <c r="H16" i="11"/>
  <c r="G16" i="11"/>
  <c r="E16" i="11"/>
  <c r="D16" i="11"/>
  <c r="C16" i="11"/>
  <c r="L14" i="11"/>
  <c r="I14" i="11"/>
  <c r="H14" i="11"/>
  <c r="G14" i="11"/>
  <c r="E14" i="11"/>
  <c r="D14" i="11"/>
  <c r="C14" i="11"/>
  <c r="P6" i="11"/>
  <c r="O6" i="11"/>
  <c r="N6" i="11"/>
  <c r="P5" i="11"/>
  <c r="O5" i="11"/>
  <c r="N5" i="11"/>
  <c r="P4" i="11"/>
  <c r="O4" i="11"/>
  <c r="N4" i="11"/>
  <c r="C19" i="11" l="1"/>
  <c r="E20" i="11"/>
  <c r="J19" i="12"/>
  <c r="C20" i="12"/>
  <c r="H20" i="11"/>
  <c r="L19" i="11"/>
  <c r="I19" i="11"/>
  <c r="D20" i="11"/>
  <c r="E20" i="12"/>
  <c r="D19" i="12"/>
  <c r="H20" i="12"/>
  <c r="L20" i="12"/>
  <c r="G20" i="11"/>
  <c r="L35" i="10"/>
  <c r="D35" i="10"/>
  <c r="L32" i="10"/>
  <c r="D32" i="10"/>
  <c r="L29" i="10"/>
  <c r="D29" i="10"/>
  <c r="L26" i="10"/>
  <c r="D26" i="10"/>
  <c r="L23" i="10"/>
  <c r="D23" i="10"/>
  <c r="L18" i="10"/>
  <c r="L20" i="10" s="1"/>
  <c r="E18" i="10"/>
  <c r="E19" i="10" s="1"/>
  <c r="D18" i="10"/>
  <c r="D19" i="10" s="1"/>
  <c r="C18" i="10"/>
  <c r="C19" i="10" s="1"/>
  <c r="L16" i="10"/>
  <c r="E16" i="10"/>
  <c r="D16" i="10"/>
  <c r="C16" i="10"/>
  <c r="L14" i="10"/>
  <c r="E14" i="10"/>
  <c r="D14" i="10"/>
  <c r="C14" i="10"/>
  <c r="P6" i="10"/>
  <c r="O6" i="10"/>
  <c r="N6" i="10"/>
  <c r="P5" i="10"/>
  <c r="O5" i="10"/>
  <c r="N5" i="10"/>
  <c r="P4" i="10"/>
  <c r="O4" i="10"/>
  <c r="N4" i="10"/>
  <c r="E20" i="10" l="1"/>
  <c r="D20" i="10"/>
  <c r="L19" i="10"/>
  <c r="C20" i="10"/>
  <c r="N6" i="9"/>
  <c r="N5" i="9"/>
  <c r="N4" i="9"/>
  <c r="L35" i="9" l="1"/>
  <c r="K35" i="9"/>
  <c r="J35" i="9"/>
  <c r="I35" i="9"/>
  <c r="H35" i="9"/>
  <c r="G35" i="9"/>
  <c r="F35" i="9"/>
  <c r="E35" i="9"/>
  <c r="D35" i="9"/>
  <c r="C35" i="9"/>
  <c r="L32" i="9"/>
  <c r="K32" i="9"/>
  <c r="J32" i="9"/>
  <c r="I32" i="9"/>
  <c r="H32" i="9"/>
  <c r="G32" i="9"/>
  <c r="F32" i="9"/>
  <c r="E32" i="9"/>
  <c r="D32" i="9"/>
  <c r="C32" i="9"/>
  <c r="L29" i="9"/>
  <c r="K29" i="9"/>
  <c r="J29" i="9"/>
  <c r="I29" i="9"/>
  <c r="H29" i="9"/>
  <c r="G29" i="9"/>
  <c r="F29" i="9"/>
  <c r="E29" i="9"/>
  <c r="D29" i="9"/>
  <c r="C29" i="9"/>
  <c r="L26" i="9"/>
  <c r="K26" i="9"/>
  <c r="J26" i="9"/>
  <c r="I26" i="9"/>
  <c r="H26" i="9"/>
  <c r="G26" i="9"/>
  <c r="F26" i="9"/>
  <c r="E26" i="9"/>
  <c r="D26" i="9"/>
  <c r="C26" i="9"/>
  <c r="L23" i="9"/>
  <c r="K23" i="9"/>
  <c r="J23" i="9"/>
  <c r="I23" i="9"/>
  <c r="H23" i="9"/>
  <c r="G23" i="9"/>
  <c r="F23" i="9"/>
  <c r="E23" i="9"/>
  <c r="D23" i="9"/>
  <c r="C23" i="9"/>
  <c r="L20" i="9"/>
  <c r="K20" i="9"/>
  <c r="L19" i="9"/>
  <c r="K19" i="9"/>
  <c r="J19" i="9"/>
  <c r="I19" i="9"/>
  <c r="F19" i="9"/>
  <c r="E19" i="9"/>
  <c r="L18" i="9"/>
  <c r="K18" i="9"/>
  <c r="J18" i="9"/>
  <c r="J20" i="9" s="1"/>
  <c r="I18" i="9"/>
  <c r="I20" i="9" s="1"/>
  <c r="H18" i="9"/>
  <c r="H19" i="9" s="1"/>
  <c r="G18" i="9"/>
  <c r="G19" i="9" s="1"/>
  <c r="F18" i="9"/>
  <c r="F20" i="9" s="1"/>
  <c r="E18" i="9"/>
  <c r="E20" i="9" s="1"/>
  <c r="D18" i="9"/>
  <c r="D20" i="9" s="1"/>
  <c r="C18" i="9"/>
  <c r="C20" i="9" s="1"/>
  <c r="L16" i="9"/>
  <c r="K16" i="9"/>
  <c r="J16" i="9"/>
  <c r="I16" i="9"/>
  <c r="H16" i="9"/>
  <c r="G16" i="9"/>
  <c r="F16" i="9"/>
  <c r="E16" i="9"/>
  <c r="D16" i="9"/>
  <c r="C16" i="9"/>
  <c r="L14" i="9"/>
  <c r="K14" i="9"/>
  <c r="J14" i="9"/>
  <c r="I14" i="9"/>
  <c r="H14" i="9"/>
  <c r="G14" i="9"/>
  <c r="F14" i="9"/>
  <c r="E14" i="9"/>
  <c r="D14" i="9"/>
  <c r="C14" i="9"/>
  <c r="P6" i="9"/>
  <c r="O6" i="9"/>
  <c r="O5" i="9"/>
  <c r="H41" i="8"/>
  <c r="H7" i="8"/>
  <c r="H6" i="8"/>
  <c r="H5" i="8"/>
  <c r="H4" i="8"/>
  <c r="H8" i="8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H38" i="8" s="1"/>
  <c r="H39" i="8" s="1"/>
  <c r="H40" i="8" s="1"/>
  <c r="I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G3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D6" i="8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C19" i="9" l="1"/>
  <c r="D19" i="9"/>
  <c r="G20" i="9"/>
  <c r="H20" i="9"/>
  <c r="G5" i="8"/>
  <c r="I5" i="8" s="1"/>
  <c r="G4" i="8"/>
  <c r="I4" i="8" s="1"/>
  <c r="G6" i="8" l="1"/>
  <c r="I6" i="8" s="1"/>
  <c r="G7" i="8" l="1"/>
  <c r="I7" i="8" s="1"/>
  <c r="G8" i="8" l="1"/>
  <c r="I8" i="8" s="1"/>
  <c r="G9" i="8" l="1"/>
  <c r="I9" i="8" s="1"/>
  <c r="G10" i="8" l="1"/>
  <c r="I10" i="8" s="1"/>
  <c r="G11" i="8" l="1"/>
  <c r="I11" i="8" s="1"/>
  <c r="G12" i="8" l="1"/>
  <c r="I12" i="8" s="1"/>
  <c r="G13" i="8" l="1"/>
  <c r="I13" i="8" s="1"/>
  <c r="G14" i="8" l="1"/>
  <c r="I14" i="8" s="1"/>
  <c r="G15" i="8" l="1"/>
  <c r="I15" i="8" s="1"/>
  <c r="G16" i="8" l="1"/>
  <c r="I16" i="8" s="1"/>
  <c r="G17" i="8" l="1"/>
  <c r="I17" i="8" s="1"/>
  <c r="G18" i="8" l="1"/>
  <c r="I18" i="8" s="1"/>
  <c r="G19" i="8" l="1"/>
  <c r="I19" i="8" s="1"/>
  <c r="G20" i="8" l="1"/>
  <c r="I20" i="8" s="1"/>
  <c r="G21" i="8" l="1"/>
  <c r="I21" i="8" s="1"/>
  <c r="G22" i="8" l="1"/>
  <c r="I22" i="8" s="1"/>
  <c r="G23" i="8" l="1"/>
  <c r="I23" i="8" s="1"/>
  <c r="G24" i="8" l="1"/>
  <c r="I24" i="8" s="1"/>
  <c r="G25" i="8" l="1"/>
  <c r="I25" i="8" s="1"/>
  <c r="G26" i="8" l="1"/>
  <c r="I26" i="8" s="1"/>
  <c r="G27" i="8" l="1"/>
  <c r="I27" i="8" s="1"/>
  <c r="G28" i="8" l="1"/>
  <c r="I28" i="8" s="1"/>
  <c r="G29" i="8" l="1"/>
  <c r="I29" i="8" s="1"/>
  <c r="G30" i="8" l="1"/>
  <c r="I30" i="8" s="1"/>
  <c r="G31" i="8" l="1"/>
  <c r="I31" i="8" s="1"/>
  <c r="G32" i="8" l="1"/>
  <c r="I32" i="8" s="1"/>
  <c r="G33" i="8" l="1"/>
  <c r="I33" i="8" s="1"/>
  <c r="G34" i="8" l="1"/>
  <c r="I34" i="8" s="1"/>
  <c r="G35" i="8" l="1"/>
  <c r="I35" i="8" s="1"/>
  <c r="G36" i="8" l="1"/>
  <c r="I36" i="8" s="1"/>
  <c r="G37" i="8" l="1"/>
  <c r="I37" i="8" s="1"/>
  <c r="G38" i="8" l="1"/>
  <c r="I38" i="8" s="1"/>
  <c r="G39" i="8" l="1"/>
  <c r="I39" i="8" s="1"/>
  <c r="G40" i="8" l="1"/>
  <c r="I40" i="8" s="1"/>
  <c r="G41" i="8" l="1"/>
  <c r="I41" i="8" s="1"/>
  <c r="N6" i="7" l="1"/>
  <c r="O5" i="7"/>
  <c r="L35" i="7" l="1"/>
  <c r="I35" i="7"/>
  <c r="G35" i="7"/>
  <c r="E35" i="7"/>
  <c r="D35" i="7"/>
  <c r="C35" i="7"/>
  <c r="L32" i="7"/>
  <c r="I32" i="7"/>
  <c r="G32" i="7"/>
  <c r="E32" i="7"/>
  <c r="D32" i="7"/>
  <c r="C32" i="7"/>
  <c r="L29" i="7"/>
  <c r="I29" i="7"/>
  <c r="G29" i="7"/>
  <c r="E29" i="7"/>
  <c r="D29" i="7"/>
  <c r="C29" i="7"/>
  <c r="L26" i="7"/>
  <c r="I26" i="7"/>
  <c r="G26" i="7"/>
  <c r="E26" i="7"/>
  <c r="D26" i="7"/>
  <c r="C26" i="7"/>
  <c r="L23" i="7"/>
  <c r="I23" i="7"/>
  <c r="G23" i="7"/>
  <c r="E23" i="7"/>
  <c r="D23" i="7"/>
  <c r="C23" i="7"/>
  <c r="L18" i="7"/>
  <c r="L19" i="7" s="1"/>
  <c r="K18" i="7"/>
  <c r="K19" i="7" s="1"/>
  <c r="J18" i="7"/>
  <c r="J19" i="7" s="1"/>
  <c r="I18" i="7"/>
  <c r="I20" i="7" s="1"/>
  <c r="H18" i="7"/>
  <c r="H20" i="7" s="1"/>
  <c r="G18" i="7"/>
  <c r="G19" i="7" s="1"/>
  <c r="F18" i="7"/>
  <c r="F19" i="7" s="1"/>
  <c r="E18" i="7"/>
  <c r="E20" i="7" s="1"/>
  <c r="D18" i="7"/>
  <c r="D20" i="7" s="1"/>
  <c r="C20" i="7"/>
  <c r="L16" i="7"/>
  <c r="K16" i="7"/>
  <c r="J16" i="7"/>
  <c r="I16" i="7"/>
  <c r="H16" i="7"/>
  <c r="G16" i="7"/>
  <c r="F16" i="7"/>
  <c r="E16" i="7"/>
  <c r="D16" i="7"/>
  <c r="C16" i="7"/>
  <c r="L14" i="7"/>
  <c r="K14" i="7"/>
  <c r="J14" i="7"/>
  <c r="I14" i="7"/>
  <c r="H14" i="7"/>
  <c r="G14" i="7"/>
  <c r="F14" i="7"/>
  <c r="E14" i="7"/>
  <c r="D14" i="7"/>
  <c r="C14" i="7"/>
  <c r="P6" i="7"/>
  <c r="O6" i="7"/>
  <c r="P5" i="7"/>
  <c r="P4" i="7"/>
  <c r="O4" i="7"/>
  <c r="E19" i="7" l="1"/>
  <c r="K20" i="7"/>
  <c r="H19" i="7"/>
  <c r="G20" i="7"/>
  <c r="D19" i="7"/>
  <c r="I19" i="7"/>
  <c r="F20" i="7"/>
  <c r="J20" i="7"/>
  <c r="L20" i="7"/>
  <c r="N6" i="6"/>
  <c r="N5" i="6"/>
  <c r="N4" i="6"/>
  <c r="P4" i="6"/>
  <c r="O4" i="6"/>
  <c r="L35" i="6" l="1"/>
  <c r="J35" i="6"/>
  <c r="H35" i="6"/>
  <c r="D35" i="6"/>
  <c r="L32" i="6"/>
  <c r="J32" i="6"/>
  <c r="H32" i="6"/>
  <c r="D32" i="6"/>
  <c r="L29" i="6"/>
  <c r="J29" i="6"/>
  <c r="H29" i="6"/>
  <c r="D29" i="6"/>
  <c r="L26" i="6"/>
  <c r="J26" i="6"/>
  <c r="H26" i="6"/>
  <c r="D26" i="6"/>
  <c r="L23" i="6"/>
  <c r="J23" i="6"/>
  <c r="H23" i="6"/>
  <c r="D23" i="6"/>
  <c r="L18" i="6"/>
  <c r="L20" i="6" s="1"/>
  <c r="K18" i="6"/>
  <c r="K20" i="6" s="1"/>
  <c r="J18" i="6"/>
  <c r="J20" i="6" s="1"/>
  <c r="I18" i="6"/>
  <c r="I19" i="6" s="1"/>
  <c r="H18" i="6"/>
  <c r="H19" i="6" s="1"/>
  <c r="G18" i="6"/>
  <c r="G19" i="6" s="1"/>
  <c r="F18" i="6"/>
  <c r="F20" i="6" s="1"/>
  <c r="E18" i="6"/>
  <c r="E19" i="6" s="1"/>
  <c r="D18" i="6"/>
  <c r="D19" i="6" s="1"/>
  <c r="C18" i="6"/>
  <c r="C20" i="6" s="1"/>
  <c r="L16" i="6"/>
  <c r="K16" i="6"/>
  <c r="J16" i="6"/>
  <c r="I16" i="6"/>
  <c r="H16" i="6"/>
  <c r="G16" i="6"/>
  <c r="F16" i="6"/>
  <c r="E16" i="6"/>
  <c r="D16" i="6"/>
  <c r="C16" i="6"/>
  <c r="L14" i="6"/>
  <c r="K14" i="6"/>
  <c r="J14" i="6"/>
  <c r="I14" i="6"/>
  <c r="H14" i="6"/>
  <c r="G14" i="6"/>
  <c r="F14" i="6"/>
  <c r="E14" i="6"/>
  <c r="D14" i="6"/>
  <c r="C14" i="6"/>
  <c r="P6" i="6"/>
  <c r="O6" i="6"/>
  <c r="P5" i="6"/>
  <c r="O5" i="6"/>
  <c r="L19" i="6" l="1"/>
  <c r="K19" i="6"/>
  <c r="J19" i="6"/>
  <c r="F19" i="6"/>
  <c r="D20" i="6"/>
  <c r="C19" i="6"/>
  <c r="E20" i="6"/>
  <c r="G20" i="6"/>
  <c r="H20" i="6"/>
  <c r="I20" i="6"/>
  <c r="L35" i="5"/>
  <c r="I35" i="5"/>
  <c r="H35" i="5"/>
  <c r="G35" i="5"/>
  <c r="E35" i="5"/>
  <c r="D35" i="5"/>
  <c r="C35" i="5"/>
  <c r="L32" i="5"/>
  <c r="I32" i="5"/>
  <c r="H32" i="5"/>
  <c r="G32" i="5"/>
  <c r="E32" i="5"/>
  <c r="D32" i="5"/>
  <c r="C32" i="5"/>
  <c r="L29" i="5"/>
  <c r="I29" i="5"/>
  <c r="H29" i="5"/>
  <c r="G29" i="5"/>
  <c r="E29" i="5"/>
  <c r="D29" i="5"/>
  <c r="C29" i="5"/>
  <c r="L26" i="5"/>
  <c r="I26" i="5"/>
  <c r="H26" i="5"/>
  <c r="G26" i="5"/>
  <c r="E26" i="5"/>
  <c r="D26" i="5"/>
  <c r="C26" i="5"/>
  <c r="L23" i="5"/>
  <c r="I23" i="5"/>
  <c r="H23" i="5"/>
  <c r="G23" i="5"/>
  <c r="E23" i="5"/>
  <c r="D23" i="5"/>
  <c r="C23" i="5"/>
  <c r="L18" i="5"/>
  <c r="L20" i="5" s="1"/>
  <c r="K18" i="5"/>
  <c r="K20" i="5" s="1"/>
  <c r="J18" i="5"/>
  <c r="J19" i="5" s="1"/>
  <c r="I18" i="5"/>
  <c r="I19" i="5" s="1"/>
  <c r="H18" i="5"/>
  <c r="H19" i="5" s="1"/>
  <c r="G18" i="5"/>
  <c r="G20" i="5" s="1"/>
  <c r="F18" i="5"/>
  <c r="F20" i="5" s="1"/>
  <c r="E18" i="5"/>
  <c r="E20" i="5" s="1"/>
  <c r="D18" i="5"/>
  <c r="D20" i="5" s="1"/>
  <c r="C18" i="5"/>
  <c r="C20" i="5" s="1"/>
  <c r="L16" i="5"/>
  <c r="K16" i="5"/>
  <c r="J16" i="5"/>
  <c r="I16" i="5"/>
  <c r="H16" i="5"/>
  <c r="G16" i="5"/>
  <c r="F16" i="5"/>
  <c r="E16" i="5"/>
  <c r="D16" i="5"/>
  <c r="C16" i="5"/>
  <c r="L14" i="5"/>
  <c r="K14" i="5"/>
  <c r="J14" i="5"/>
  <c r="I14" i="5"/>
  <c r="H14" i="5"/>
  <c r="G14" i="5"/>
  <c r="F14" i="5"/>
  <c r="E14" i="5"/>
  <c r="D14" i="5"/>
  <c r="C14" i="5"/>
  <c r="P6" i="5"/>
  <c r="O6" i="5"/>
  <c r="N6" i="5"/>
  <c r="P5" i="5"/>
  <c r="O5" i="5"/>
  <c r="N5" i="5"/>
  <c r="P4" i="5"/>
  <c r="O4" i="5"/>
  <c r="N4" i="5"/>
  <c r="L19" i="5" l="1"/>
  <c r="K19" i="5"/>
  <c r="D19" i="5"/>
  <c r="E19" i="5"/>
  <c r="F19" i="5"/>
  <c r="G19" i="5"/>
  <c r="H20" i="5"/>
  <c r="C19" i="5"/>
  <c r="I20" i="5"/>
  <c r="J20" i="5"/>
  <c r="O4" i="4"/>
  <c r="N4" i="4"/>
  <c r="L35" i="4" l="1"/>
  <c r="D35" i="4"/>
  <c r="L32" i="4"/>
  <c r="D32" i="4"/>
  <c r="L29" i="4"/>
  <c r="D29" i="4"/>
  <c r="L26" i="4"/>
  <c r="D26" i="4"/>
  <c r="L23" i="4"/>
  <c r="D23" i="4"/>
  <c r="L18" i="4"/>
  <c r="L19" i="4" s="1"/>
  <c r="K18" i="4"/>
  <c r="K20" i="4" s="1"/>
  <c r="J18" i="4"/>
  <c r="J20" i="4" s="1"/>
  <c r="I18" i="4"/>
  <c r="I19" i="4" s="1"/>
  <c r="H18" i="4"/>
  <c r="H20" i="4" s="1"/>
  <c r="G18" i="4"/>
  <c r="G20" i="4" s="1"/>
  <c r="F18" i="4"/>
  <c r="F19" i="4" s="1"/>
  <c r="E18" i="4"/>
  <c r="E20" i="4" s="1"/>
  <c r="D18" i="4"/>
  <c r="D20" i="4" s="1"/>
  <c r="C18" i="4"/>
  <c r="C20" i="4" s="1"/>
  <c r="L16" i="4"/>
  <c r="K16" i="4"/>
  <c r="J16" i="4"/>
  <c r="I16" i="4"/>
  <c r="H16" i="4"/>
  <c r="G16" i="4"/>
  <c r="F16" i="4"/>
  <c r="E16" i="4"/>
  <c r="D16" i="4"/>
  <c r="C16" i="4"/>
  <c r="L14" i="4"/>
  <c r="K14" i="4"/>
  <c r="J14" i="4"/>
  <c r="I14" i="4"/>
  <c r="H14" i="4"/>
  <c r="G14" i="4"/>
  <c r="F14" i="4"/>
  <c r="E14" i="4"/>
  <c r="D14" i="4"/>
  <c r="C14" i="4"/>
  <c r="P6" i="4"/>
  <c r="O6" i="4"/>
  <c r="N6" i="4"/>
  <c r="P5" i="4"/>
  <c r="O5" i="4"/>
  <c r="N5" i="4"/>
  <c r="P4" i="4"/>
  <c r="C19" i="4" l="1"/>
  <c r="J19" i="4"/>
  <c r="I20" i="4"/>
  <c r="H19" i="4"/>
  <c r="G19" i="4"/>
  <c r="L20" i="4"/>
  <c r="D19" i="4"/>
  <c r="E19" i="4"/>
  <c r="K19" i="4"/>
  <c r="F20" i="4"/>
  <c r="C18" i="3" l="1"/>
  <c r="C19" i="3" s="1"/>
  <c r="D18" i="3"/>
  <c r="D19" i="3" s="1"/>
  <c r="C16" i="3" l="1"/>
  <c r="C14" i="3"/>
  <c r="L35" i="3"/>
  <c r="K35" i="3"/>
  <c r="J35" i="3"/>
  <c r="I35" i="3"/>
  <c r="H35" i="3"/>
  <c r="G35" i="3"/>
  <c r="F35" i="3"/>
  <c r="E35" i="3"/>
  <c r="D35" i="3"/>
  <c r="C35" i="3"/>
  <c r="L32" i="3"/>
  <c r="K32" i="3"/>
  <c r="J32" i="3"/>
  <c r="I32" i="3"/>
  <c r="H32" i="3"/>
  <c r="G32" i="3"/>
  <c r="F32" i="3"/>
  <c r="E32" i="3"/>
  <c r="D32" i="3"/>
  <c r="C32" i="3"/>
  <c r="L29" i="3"/>
  <c r="K29" i="3"/>
  <c r="J29" i="3"/>
  <c r="I29" i="3"/>
  <c r="H29" i="3"/>
  <c r="G29" i="3"/>
  <c r="F29" i="3"/>
  <c r="E29" i="3"/>
  <c r="D29" i="3"/>
  <c r="C29" i="3"/>
  <c r="L26" i="3"/>
  <c r="K26" i="3"/>
  <c r="J26" i="3"/>
  <c r="I26" i="3"/>
  <c r="H26" i="3"/>
  <c r="G26" i="3"/>
  <c r="F26" i="3"/>
  <c r="E26" i="3"/>
  <c r="D26" i="3"/>
  <c r="C26" i="3"/>
  <c r="L23" i="3"/>
  <c r="K23" i="3"/>
  <c r="J23" i="3"/>
  <c r="I23" i="3"/>
  <c r="H23" i="3"/>
  <c r="G23" i="3"/>
  <c r="F23" i="3"/>
  <c r="E23" i="3"/>
  <c r="D23" i="3"/>
  <c r="C23" i="3"/>
  <c r="L18" i="3"/>
  <c r="L19" i="3" s="1"/>
  <c r="K18" i="3"/>
  <c r="K19" i="3" s="1"/>
  <c r="J18" i="3"/>
  <c r="J20" i="3" s="1"/>
  <c r="I18" i="3"/>
  <c r="I19" i="3" s="1"/>
  <c r="H18" i="3"/>
  <c r="H19" i="3" s="1"/>
  <c r="G18" i="3"/>
  <c r="G19" i="3" s="1"/>
  <c r="F18" i="3"/>
  <c r="F19" i="3" s="1"/>
  <c r="E18" i="3"/>
  <c r="E19" i="3" s="1"/>
  <c r="D20" i="3"/>
  <c r="C20" i="3"/>
  <c r="L16" i="3"/>
  <c r="K16" i="3"/>
  <c r="J16" i="3"/>
  <c r="I16" i="3"/>
  <c r="H16" i="3"/>
  <c r="G16" i="3"/>
  <c r="F16" i="3"/>
  <c r="E16" i="3"/>
  <c r="D16" i="3"/>
  <c r="L14" i="3"/>
  <c r="K14" i="3"/>
  <c r="J14" i="3"/>
  <c r="I14" i="3"/>
  <c r="H14" i="3"/>
  <c r="G14" i="3"/>
  <c r="F14" i="3"/>
  <c r="E14" i="3"/>
  <c r="D14" i="3"/>
  <c r="P5" i="3"/>
  <c r="E20" i="3" l="1"/>
  <c r="L20" i="3"/>
  <c r="J19" i="3"/>
  <c r="F20" i="3"/>
  <c r="G20" i="3"/>
  <c r="H20" i="3"/>
  <c r="I20" i="3"/>
  <c r="K20" i="3"/>
</calcChain>
</file>

<file path=xl/sharedStrings.xml><?xml version="1.0" encoding="utf-8"?>
<sst xmlns="http://schemas.openxmlformats.org/spreadsheetml/2006/main" count="785" uniqueCount="63">
  <si>
    <t>YM</t>
  </si>
  <si>
    <t>Alpha</t>
  </si>
  <si>
    <t>R2</t>
  </si>
  <si>
    <t>NQ</t>
  </si>
  <si>
    <t>ER</t>
  </si>
  <si>
    <t>ES</t>
  </si>
  <si>
    <t>FT</t>
  </si>
  <si>
    <t>DA</t>
  </si>
  <si>
    <t>CF</t>
  </si>
  <si>
    <t>PT</t>
  </si>
  <si>
    <t>HI</t>
  </si>
  <si>
    <t>Gamma</t>
  </si>
  <si>
    <t>EN</t>
  </si>
  <si>
    <t># of Bins</t>
  </si>
  <si>
    <t>MULT</t>
  </si>
  <si>
    <t>XMAX</t>
  </si>
  <si>
    <t>XMIN</t>
  </si>
  <si>
    <t>Open</t>
  </si>
  <si>
    <t>Close</t>
  </si>
  <si>
    <t>Time</t>
  </si>
  <si>
    <t>Chicago</t>
  </si>
  <si>
    <t>London</t>
  </si>
  <si>
    <t>Frankfurt</t>
  </si>
  <si>
    <t>Paris</t>
  </si>
  <si>
    <t>North America</t>
  </si>
  <si>
    <t>Europe</t>
  </si>
  <si>
    <t>Asia</t>
  </si>
  <si>
    <t>Toronto</t>
  </si>
  <si>
    <t>Singapore</t>
  </si>
  <si>
    <t>Hong Kong</t>
  </si>
  <si>
    <t>Tick</t>
  </si>
  <si>
    <t>dX/Tick</t>
  </si>
  <si>
    <t>Sigma1</t>
  </si>
  <si>
    <t>dX/Sigma1</t>
  </si>
  <si>
    <t>Day Session</t>
  </si>
  <si>
    <t>DeltaX/Tick</t>
  </si>
  <si>
    <t>DeltaX/Sigma1</t>
  </si>
  <si>
    <t>dX</t>
  </si>
  <si>
    <t>N_X</t>
  </si>
  <si>
    <t>Bin Size</t>
  </si>
  <si>
    <t>Events in Center Bin</t>
  </si>
  <si>
    <t>Total Events</t>
  </si>
  <si>
    <t>% Events in Center Bin</t>
  </si>
  <si>
    <t>10 mins</t>
  </si>
  <si>
    <t>100 mins</t>
  </si>
  <si>
    <t>1000 mins</t>
  </si>
  <si>
    <t>10000 mins</t>
  </si>
  <si>
    <t>1 mins</t>
  </si>
  <si>
    <t>stdev</t>
  </si>
  <si>
    <t>37,0.1</t>
  </si>
  <si>
    <t>37,0.2</t>
  </si>
  <si>
    <t>37,0.3</t>
  </si>
  <si>
    <t>37,0.4</t>
  </si>
  <si>
    <t>37,0.5</t>
  </si>
  <si>
    <t>20,0.1</t>
  </si>
  <si>
    <t>20,0.2</t>
  </si>
  <si>
    <t>20,0.3</t>
  </si>
  <si>
    <t>20,0.4</t>
  </si>
  <si>
    <t>20,0.5</t>
  </si>
  <si>
    <t>3 sigma</t>
  </si>
  <si>
    <t>Avg. Ask-Bid in Ticks</t>
  </si>
  <si>
    <t>Avg. Ask-Bid in Price Pts</t>
  </si>
  <si>
    <t>Sigma1/AskBid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</si>
</sst>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0"/>
    <numFmt numFmtId="165" formatCode="0.0000"/>
    <numFmt numFmtId="166" formatCode="0.000"/>
    <numFmt numFmtId="167" formatCode="#,##0.0"/>
    <numFmt numFmtId="168" formatCode="0.00000"/>
    <numFmt numFmtId="169" formatCode="0.0"/>
    <numFmt numFmtId="170" formatCode="#,##0.0000"/>
    <numFmt numFmtId="171" formatCode="0.00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rgb="FFB0008A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164" fontId="3" fillId="0" borderId="5" xfId="0" applyNumberFormat="1" applyFont="1" applyFill="1" applyBorder="1" applyAlignment="1">
      <alignment horizontal="center"/>
    </xf>
    <xf numFmtId="165" fontId="3" fillId="0" borderId="5" xfId="0" applyNumberFormat="1" applyFont="1" applyFill="1" applyBorder="1" applyAlignment="1">
      <alignment horizontal="center"/>
    </xf>
    <xf numFmtId="164" fontId="3" fillId="0" borderId="8" xfId="0" applyNumberFormat="1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164" fontId="3" fillId="0" borderId="7" xfId="0" applyNumberFormat="1" applyFont="1" applyFill="1" applyBorder="1" applyAlignment="1">
      <alignment horizontal="center"/>
    </xf>
    <xf numFmtId="164" fontId="3" fillId="0" borderId="4" xfId="0" applyNumberFormat="1" applyFont="1" applyFill="1" applyBorder="1" applyAlignment="1">
      <alignment horizontal="center"/>
    </xf>
    <xf numFmtId="165" fontId="3" fillId="0" borderId="4" xfId="0" applyNumberFormat="1" applyFont="1" applyFill="1" applyBorder="1" applyAlignment="1">
      <alignment horizontal="center"/>
    </xf>
    <xf numFmtId="164" fontId="3" fillId="0" borderId="6" xfId="0" applyNumberFormat="1" applyFont="1" applyFill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3" fontId="3" fillId="0" borderId="1" xfId="0" applyNumberFormat="1" applyFont="1" applyFill="1" applyBorder="1" applyAlignment="1">
      <alignment horizontal="center"/>
    </xf>
    <xf numFmtId="3" fontId="3" fillId="0" borderId="2" xfId="0" applyNumberFormat="1" applyFont="1" applyFill="1" applyBorder="1" applyAlignment="1">
      <alignment horizontal="center"/>
    </xf>
    <xf numFmtId="3" fontId="3" fillId="0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3" fontId="3" fillId="0" borderId="0" xfId="0" applyNumberFormat="1" applyFont="1" applyFill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3" fontId="3" fillId="0" borderId="4" xfId="0" applyNumberFormat="1" applyFont="1" applyFill="1" applyBorder="1" applyAlignment="1">
      <alignment horizontal="center"/>
    </xf>
    <xf numFmtId="3" fontId="3" fillId="0" borderId="5" xfId="0" applyNumberFormat="1" applyFont="1" applyFill="1" applyBorder="1" applyAlignment="1">
      <alignment horizontal="center"/>
    </xf>
    <xf numFmtId="18" fontId="3" fillId="0" borderId="4" xfId="0" applyNumberFormat="1" applyFont="1" applyBorder="1" applyAlignment="1">
      <alignment horizontal="center"/>
    </xf>
    <xf numFmtId="18" fontId="3" fillId="0" borderId="0" xfId="0" applyNumberFormat="1" applyFont="1" applyBorder="1" applyAlignment="1">
      <alignment horizontal="center"/>
    </xf>
    <xf numFmtId="18" fontId="3" fillId="0" borderId="5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167" fontId="5" fillId="0" borderId="4" xfId="0" applyNumberFormat="1" applyFont="1" applyBorder="1" applyAlignment="1">
      <alignment horizontal="center"/>
    </xf>
    <xf numFmtId="167" fontId="5" fillId="0" borderId="0" xfId="0" applyNumberFormat="1" applyFont="1" applyBorder="1" applyAlignment="1">
      <alignment horizontal="center"/>
    </xf>
    <xf numFmtId="167" fontId="5" fillId="0" borderId="5" xfId="0" applyNumberFormat="1" applyFont="1" applyBorder="1" applyAlignment="1">
      <alignment horizontal="center"/>
    </xf>
    <xf numFmtId="2" fontId="5" fillId="2" borderId="4" xfId="0" applyNumberFormat="1" applyFont="1" applyFill="1" applyBorder="1" applyAlignment="1">
      <alignment horizontal="center"/>
    </xf>
    <xf numFmtId="2" fontId="5" fillId="2" borderId="0" xfId="0" applyNumberFormat="1" applyFont="1" applyFill="1" applyBorder="1" applyAlignment="1">
      <alignment horizontal="center"/>
    </xf>
    <xf numFmtId="2" fontId="5" fillId="2" borderId="5" xfId="0" applyNumberFormat="1" applyFont="1" applyFill="1" applyBorder="1" applyAlignment="1">
      <alignment horizontal="center"/>
    </xf>
    <xf numFmtId="3" fontId="7" fillId="0" borderId="4" xfId="0" applyNumberFormat="1" applyFont="1" applyBorder="1" applyAlignment="1">
      <alignment horizontal="center"/>
    </xf>
    <xf numFmtId="3" fontId="7" fillId="0" borderId="0" xfId="0" applyNumberFormat="1" applyFont="1" applyBorder="1" applyAlignment="1">
      <alignment horizontal="center"/>
    </xf>
    <xf numFmtId="3" fontId="7" fillId="0" borderId="5" xfId="0" applyNumberFormat="1" applyFont="1" applyBorder="1" applyAlignment="1">
      <alignment horizontal="center"/>
    </xf>
    <xf numFmtId="10" fontId="7" fillId="0" borderId="4" xfId="1" applyNumberFormat="1" applyFont="1" applyBorder="1" applyAlignment="1">
      <alignment horizontal="center"/>
    </xf>
    <xf numFmtId="10" fontId="7" fillId="0" borderId="0" xfId="1" applyNumberFormat="1" applyFont="1" applyBorder="1" applyAlignment="1">
      <alignment horizontal="center"/>
    </xf>
    <xf numFmtId="10" fontId="7" fillId="0" borderId="5" xfId="1" applyNumberFormat="1" applyFont="1" applyBorder="1" applyAlignment="1">
      <alignment horizontal="center"/>
    </xf>
    <xf numFmtId="10" fontId="7" fillId="0" borderId="6" xfId="1" applyNumberFormat="1" applyFont="1" applyBorder="1" applyAlignment="1">
      <alignment horizontal="center"/>
    </xf>
    <xf numFmtId="10" fontId="7" fillId="0" borderId="7" xfId="1" applyNumberFormat="1" applyFont="1" applyBorder="1" applyAlignment="1">
      <alignment horizontal="center"/>
    </xf>
    <xf numFmtId="10" fontId="7" fillId="0" borderId="8" xfId="1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3" fontId="3" fillId="0" borderId="0" xfId="0" applyNumberFormat="1" applyFont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2" fontId="8" fillId="0" borderId="4" xfId="0" applyNumberFormat="1" applyFont="1" applyBorder="1" applyAlignment="1">
      <alignment horizontal="center"/>
    </xf>
    <xf numFmtId="2" fontId="8" fillId="0" borderId="0" xfId="0" applyNumberFormat="1" applyFont="1" applyBorder="1" applyAlignment="1">
      <alignment horizontal="center"/>
    </xf>
    <xf numFmtId="2" fontId="8" fillId="0" borderId="5" xfId="0" applyNumberFormat="1" applyFon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4" fontId="5" fillId="0" borderId="0" xfId="0" applyNumberFormat="1" applyFont="1" applyBorder="1" applyAlignment="1">
      <alignment horizontal="center"/>
    </xf>
    <xf numFmtId="4" fontId="5" fillId="0" borderId="4" xfId="0" applyNumberFormat="1" applyFont="1" applyBorder="1" applyAlignment="1">
      <alignment horizontal="center"/>
    </xf>
    <xf numFmtId="4" fontId="5" fillId="0" borderId="5" xfId="0" applyNumberFormat="1" applyFont="1" applyBorder="1" applyAlignment="1">
      <alignment horizontal="center"/>
    </xf>
    <xf numFmtId="168" fontId="0" fillId="0" borderId="0" xfId="0" applyNumberFormat="1"/>
    <xf numFmtId="0" fontId="0" fillId="2" borderId="0" xfId="0" applyFill="1"/>
    <xf numFmtId="164" fontId="3" fillId="3" borderId="4" xfId="0" applyNumberFormat="1" applyFont="1" applyFill="1" applyBorder="1" applyAlignment="1">
      <alignment horizontal="center"/>
    </xf>
    <xf numFmtId="164" fontId="3" fillId="3" borderId="5" xfId="0" applyNumberFormat="1" applyFont="1" applyFill="1" applyBorder="1" applyAlignment="1">
      <alignment horizontal="center"/>
    </xf>
    <xf numFmtId="2" fontId="0" fillId="0" borderId="0" xfId="0" applyNumberFormat="1"/>
    <xf numFmtId="164" fontId="3" fillId="3" borderId="0" xfId="0" applyNumberFormat="1" applyFont="1" applyFill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1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169" fontId="5" fillId="0" borderId="4" xfId="0" applyNumberFormat="1" applyFont="1" applyBorder="1" applyAlignment="1">
      <alignment horizontal="center"/>
    </xf>
    <xf numFmtId="169" fontId="5" fillId="0" borderId="0" xfId="0" applyNumberFormat="1" applyFont="1" applyAlignment="1">
      <alignment horizontal="center"/>
    </xf>
    <xf numFmtId="169" fontId="5" fillId="0" borderId="5" xfId="0" applyNumberFormat="1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70" fontId="5" fillId="0" borderId="5" xfId="0" applyNumberFormat="1" applyFont="1" applyBorder="1" applyAlignment="1">
      <alignment horizontal="center"/>
    </xf>
    <xf numFmtId="2" fontId="5" fillId="2" borderId="0" xfId="0" applyNumberFormat="1" applyFont="1" applyFill="1" applyAlignment="1">
      <alignment horizontal="center"/>
    </xf>
    <xf numFmtId="3" fontId="7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/>
    <xf numFmtId="165" fontId="0" fillId="0" borderId="0" xfId="0" applyNumberFormat="1"/>
    <xf numFmtId="2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9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71" fontId="0" fillId="0" borderId="0" xfId="0" applyNumberFormat="1" applyAlignment="1">
      <alignment horizontal="center"/>
    </xf>
    <xf numFmtId="2" fontId="1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20" fontId="0" fillId="0" borderId="0" xfId="0" applyNumberFormat="1"/>
    <xf numFmtId="0" fontId="0" fillId="0" borderId="0" xfId="0" applyAlignment="1">
      <alignment horizontal="right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B000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65C7E-1285-43D1-A42F-0E210BD0E56E}">
  <dimension ref="B2:V896"/>
  <sheetViews>
    <sheetView workbookViewId="0">
      <selection activeCell="H39" sqref="H39"/>
    </sheetView>
  </sheetViews>
  <sheetFormatPr defaultRowHeight="15" x14ac:dyDescent="0.25"/>
  <cols>
    <col min="8" max="8" width="9.5703125" bestFit="1" customWidth="1"/>
  </cols>
  <sheetData>
    <row r="2" spans="2:22" x14ac:dyDescent="0.25">
      <c r="D2">
        <v>0.25</v>
      </c>
      <c r="H2" s="64">
        <v>0.125</v>
      </c>
    </row>
    <row r="3" spans="2:22" x14ac:dyDescent="0.25">
      <c r="B3">
        <v>1</v>
      </c>
      <c r="C3">
        <f>10^D3</f>
        <v>1</v>
      </c>
      <c r="D3">
        <v>0</v>
      </c>
      <c r="E3" s="65">
        <f>ROUND(C3,0)</f>
        <v>1</v>
      </c>
      <c r="F3">
        <v>1</v>
      </c>
      <c r="G3">
        <f>10^H3</f>
        <v>1</v>
      </c>
      <c r="H3">
        <v>0</v>
      </c>
      <c r="I3">
        <f>ROUND(G3,0)</f>
        <v>1</v>
      </c>
      <c r="K3" s="65">
        <v>1</v>
      </c>
      <c r="O3" s="111">
        <v>0.33333333333333331</v>
      </c>
      <c r="S3">
        <f>365</f>
        <v>365</v>
      </c>
    </row>
    <row r="4" spans="2:22" x14ac:dyDescent="0.25">
      <c r="B4">
        <v>2</v>
      </c>
      <c r="C4">
        <f>10^D4</f>
        <v>1.778279410038923</v>
      </c>
      <c r="D4">
        <f>D3+D$2</f>
        <v>0.25</v>
      </c>
      <c r="E4">
        <f>ROUND(C4,0)</f>
        <v>2</v>
      </c>
      <c r="F4">
        <v>2</v>
      </c>
      <c r="G4">
        <f t="shared" ref="G4:G41" si="0">10^H4</f>
        <v>1.333521432163324</v>
      </c>
      <c r="H4" s="64">
        <f>H3+H$2</f>
        <v>0.125</v>
      </c>
      <c r="I4">
        <f t="shared" ref="I4:I41" si="1">ROUND(G4,0)</f>
        <v>1</v>
      </c>
      <c r="K4">
        <v>2</v>
      </c>
      <c r="O4" s="111">
        <v>0.33402777777777776</v>
      </c>
      <c r="P4">
        <v>1</v>
      </c>
      <c r="S4">
        <f>S3/7</f>
        <v>52.142857142857146</v>
      </c>
      <c r="U4">
        <v>5</v>
      </c>
    </row>
    <row r="5" spans="2:22" x14ac:dyDescent="0.25">
      <c r="B5">
        <v>3</v>
      </c>
      <c r="C5">
        <f>10^D5</f>
        <v>3.1622776601683795</v>
      </c>
      <c r="D5">
        <f>D4+D$2</f>
        <v>0.5</v>
      </c>
      <c r="E5">
        <f t="shared" ref="E5:E22" si="2">ROUND(C5,0)</f>
        <v>3</v>
      </c>
      <c r="F5">
        <v>3</v>
      </c>
      <c r="G5">
        <f t="shared" si="0"/>
        <v>1.778279410038923</v>
      </c>
      <c r="H5" s="64">
        <f>H4+H$2</f>
        <v>0.25</v>
      </c>
      <c r="I5">
        <f t="shared" si="1"/>
        <v>2</v>
      </c>
      <c r="K5">
        <v>3</v>
      </c>
      <c r="O5" s="111">
        <v>0.33472222222222198</v>
      </c>
      <c r="P5">
        <v>2</v>
      </c>
      <c r="U5">
        <f>U4*S4</f>
        <v>260.71428571428572</v>
      </c>
      <c r="V5">
        <f>U5-8</f>
        <v>252.71428571428572</v>
      </c>
    </row>
    <row r="6" spans="2:22" x14ac:dyDescent="0.25">
      <c r="B6">
        <v>4</v>
      </c>
      <c r="C6">
        <f>10^D6</f>
        <v>5.6234132519034921</v>
      </c>
      <c r="D6">
        <f t="shared" ref="D6:D22" si="3">D5+D$2</f>
        <v>0.75</v>
      </c>
      <c r="E6">
        <f t="shared" si="2"/>
        <v>6</v>
      </c>
      <c r="F6">
        <v>4</v>
      </c>
      <c r="G6">
        <f t="shared" si="0"/>
        <v>2.3713737056616555</v>
      </c>
      <c r="H6" s="64">
        <f>H5+H$2</f>
        <v>0.375</v>
      </c>
      <c r="I6">
        <f t="shared" si="1"/>
        <v>2</v>
      </c>
      <c r="K6">
        <v>4</v>
      </c>
      <c r="O6" s="111">
        <v>0.33541666666666697</v>
      </c>
      <c r="P6">
        <v>3</v>
      </c>
      <c r="U6">
        <f>U5*P498</f>
        <v>129053.57142857143</v>
      </c>
      <c r="V6">
        <f>V5/12</f>
        <v>21.05952380952381</v>
      </c>
    </row>
    <row r="7" spans="2:22" x14ac:dyDescent="0.25">
      <c r="B7">
        <v>5</v>
      </c>
      <c r="C7">
        <f t="shared" ref="C7:C21" si="4">10^D7</f>
        <v>10</v>
      </c>
      <c r="D7">
        <f t="shared" si="3"/>
        <v>1</v>
      </c>
      <c r="E7" s="65">
        <f t="shared" si="2"/>
        <v>10</v>
      </c>
      <c r="F7">
        <v>5</v>
      </c>
      <c r="G7">
        <f t="shared" si="0"/>
        <v>3.1622776601683795</v>
      </c>
      <c r="H7" s="64">
        <f>H6+H$2</f>
        <v>0.5</v>
      </c>
      <c r="I7">
        <f t="shared" si="1"/>
        <v>3</v>
      </c>
      <c r="K7">
        <v>6</v>
      </c>
      <c r="O7" s="111">
        <v>0.33611111111111103</v>
      </c>
      <c r="P7">
        <v>4</v>
      </c>
    </row>
    <row r="8" spans="2:22" x14ac:dyDescent="0.25">
      <c r="B8">
        <v>6</v>
      </c>
      <c r="C8">
        <f t="shared" si="4"/>
        <v>17.782794100389236</v>
      </c>
      <c r="D8">
        <f t="shared" si="3"/>
        <v>1.25</v>
      </c>
      <c r="E8">
        <f t="shared" si="2"/>
        <v>18</v>
      </c>
      <c r="F8">
        <v>6</v>
      </c>
      <c r="G8">
        <f t="shared" si="0"/>
        <v>4.2169650342858231</v>
      </c>
      <c r="H8" s="64">
        <f t="shared" ref="H8:H40" si="5">H7+H$2</f>
        <v>0.625</v>
      </c>
      <c r="I8">
        <f t="shared" si="1"/>
        <v>4</v>
      </c>
      <c r="K8">
        <v>7</v>
      </c>
      <c r="O8" s="111">
        <v>0.33680555555555602</v>
      </c>
      <c r="P8">
        <v>5</v>
      </c>
    </row>
    <row r="9" spans="2:22" x14ac:dyDescent="0.25">
      <c r="B9">
        <v>7</v>
      </c>
      <c r="C9">
        <f t="shared" si="4"/>
        <v>31.622776601683803</v>
      </c>
      <c r="D9">
        <f t="shared" si="3"/>
        <v>1.5</v>
      </c>
      <c r="E9">
        <f t="shared" si="2"/>
        <v>32</v>
      </c>
      <c r="F9">
        <v>7</v>
      </c>
      <c r="G9">
        <f t="shared" si="0"/>
        <v>5.6234132519034921</v>
      </c>
      <c r="H9" s="64">
        <f t="shared" si="5"/>
        <v>0.75</v>
      </c>
      <c r="I9">
        <f t="shared" si="1"/>
        <v>6</v>
      </c>
      <c r="K9" s="65">
        <v>10</v>
      </c>
      <c r="O9" s="111">
        <v>0.33750000000000002</v>
      </c>
      <c r="P9">
        <v>6</v>
      </c>
    </row>
    <row r="10" spans="2:22" x14ac:dyDescent="0.25">
      <c r="B10">
        <v>8</v>
      </c>
      <c r="C10">
        <f t="shared" si="4"/>
        <v>56.234132519034915</v>
      </c>
      <c r="D10">
        <f t="shared" si="3"/>
        <v>1.75</v>
      </c>
      <c r="E10">
        <f t="shared" si="2"/>
        <v>56</v>
      </c>
      <c r="F10">
        <v>8</v>
      </c>
      <c r="G10">
        <f t="shared" si="0"/>
        <v>7.4989420933245592</v>
      </c>
      <c r="H10" s="64">
        <f t="shared" si="5"/>
        <v>0.875</v>
      </c>
      <c r="I10">
        <f t="shared" si="1"/>
        <v>7</v>
      </c>
      <c r="K10">
        <v>13</v>
      </c>
      <c r="O10" s="111">
        <v>0.33819444444444402</v>
      </c>
      <c r="P10">
        <v>7</v>
      </c>
    </row>
    <row r="11" spans="2:22" x14ac:dyDescent="0.25">
      <c r="B11">
        <v>9</v>
      </c>
      <c r="C11">
        <f t="shared" si="4"/>
        <v>100</v>
      </c>
      <c r="D11">
        <f t="shared" si="3"/>
        <v>2</v>
      </c>
      <c r="E11" s="65">
        <f t="shared" si="2"/>
        <v>100</v>
      </c>
      <c r="F11">
        <v>9</v>
      </c>
      <c r="G11">
        <f t="shared" si="0"/>
        <v>10</v>
      </c>
      <c r="H11" s="64">
        <f t="shared" si="5"/>
        <v>1</v>
      </c>
      <c r="I11">
        <f t="shared" si="1"/>
        <v>10</v>
      </c>
      <c r="K11">
        <v>18</v>
      </c>
      <c r="O11" s="111">
        <v>0.33888888888888902</v>
      </c>
      <c r="P11">
        <v>8</v>
      </c>
    </row>
    <row r="12" spans="2:22" x14ac:dyDescent="0.25">
      <c r="B12">
        <v>10</v>
      </c>
      <c r="C12">
        <f t="shared" si="4"/>
        <v>177.82794100389242</v>
      </c>
      <c r="D12">
        <f t="shared" si="3"/>
        <v>2.25</v>
      </c>
      <c r="E12">
        <f t="shared" si="2"/>
        <v>178</v>
      </c>
      <c r="F12">
        <v>10</v>
      </c>
      <c r="G12">
        <f t="shared" si="0"/>
        <v>13.335214321633245</v>
      </c>
      <c r="H12" s="64">
        <f t="shared" si="5"/>
        <v>1.125</v>
      </c>
      <c r="I12">
        <f t="shared" si="1"/>
        <v>13</v>
      </c>
      <c r="K12">
        <v>24</v>
      </c>
      <c r="O12" s="111">
        <v>0.33958333333333302</v>
      </c>
      <c r="P12">
        <v>9</v>
      </c>
    </row>
    <row r="13" spans="2:22" x14ac:dyDescent="0.25">
      <c r="B13">
        <v>11</v>
      </c>
      <c r="C13">
        <f t="shared" si="4"/>
        <v>316.22776601683825</v>
      </c>
      <c r="D13">
        <f t="shared" si="3"/>
        <v>2.5</v>
      </c>
      <c r="E13">
        <f t="shared" si="2"/>
        <v>316</v>
      </c>
      <c r="F13">
        <v>11</v>
      </c>
      <c r="G13">
        <f t="shared" si="0"/>
        <v>17.782794100389236</v>
      </c>
      <c r="H13" s="64">
        <f t="shared" si="5"/>
        <v>1.25</v>
      </c>
      <c r="I13">
        <f t="shared" si="1"/>
        <v>18</v>
      </c>
      <c r="K13">
        <v>32</v>
      </c>
      <c r="O13" s="111">
        <v>0.34027777777777801</v>
      </c>
      <c r="P13">
        <v>10</v>
      </c>
    </row>
    <row r="14" spans="2:22" x14ac:dyDescent="0.25">
      <c r="B14">
        <v>12</v>
      </c>
      <c r="C14">
        <f t="shared" si="4"/>
        <v>562.34132519034927</v>
      </c>
      <c r="D14">
        <f t="shared" si="3"/>
        <v>2.75</v>
      </c>
      <c r="E14">
        <f t="shared" si="2"/>
        <v>562</v>
      </c>
      <c r="F14">
        <v>12</v>
      </c>
      <c r="G14">
        <f t="shared" si="0"/>
        <v>23.713737056616559</v>
      </c>
      <c r="H14" s="64">
        <f t="shared" si="5"/>
        <v>1.375</v>
      </c>
      <c r="I14">
        <f t="shared" si="1"/>
        <v>24</v>
      </c>
      <c r="K14">
        <v>42</v>
      </c>
      <c r="O14" s="111">
        <v>0.34097222222222201</v>
      </c>
      <c r="P14">
        <v>11</v>
      </c>
    </row>
    <row r="15" spans="2:22" x14ac:dyDescent="0.25">
      <c r="B15">
        <v>13</v>
      </c>
      <c r="C15">
        <f t="shared" si="4"/>
        <v>1000</v>
      </c>
      <c r="D15">
        <f t="shared" si="3"/>
        <v>3</v>
      </c>
      <c r="E15" s="65">
        <f t="shared" si="2"/>
        <v>1000</v>
      </c>
      <c r="F15">
        <v>13</v>
      </c>
      <c r="G15">
        <f t="shared" si="0"/>
        <v>31.622776601683803</v>
      </c>
      <c r="H15" s="64">
        <f t="shared" si="5"/>
        <v>1.5</v>
      </c>
      <c r="I15">
        <f t="shared" si="1"/>
        <v>32</v>
      </c>
      <c r="K15">
        <v>56</v>
      </c>
      <c r="O15" s="111">
        <v>0.34166666666666701</v>
      </c>
      <c r="P15">
        <v>12</v>
      </c>
    </row>
    <row r="16" spans="2:22" x14ac:dyDescent="0.25">
      <c r="B16">
        <v>14</v>
      </c>
      <c r="C16">
        <f t="shared" si="4"/>
        <v>1778.2794100389244</v>
      </c>
      <c r="D16">
        <f t="shared" si="3"/>
        <v>3.25</v>
      </c>
      <c r="E16">
        <f t="shared" si="2"/>
        <v>1778</v>
      </c>
      <c r="F16">
        <v>14</v>
      </c>
      <c r="G16">
        <f t="shared" si="0"/>
        <v>42.169650342858247</v>
      </c>
      <c r="H16" s="64">
        <f t="shared" si="5"/>
        <v>1.625</v>
      </c>
      <c r="I16">
        <f t="shared" si="1"/>
        <v>42</v>
      </c>
      <c r="K16">
        <v>75</v>
      </c>
      <c r="O16" s="111">
        <v>0.34236111111111101</v>
      </c>
      <c r="P16">
        <v>13</v>
      </c>
    </row>
    <row r="17" spans="2:16" x14ac:dyDescent="0.25">
      <c r="B17">
        <v>15</v>
      </c>
      <c r="C17">
        <f t="shared" si="4"/>
        <v>3162.2776601683804</v>
      </c>
      <c r="D17">
        <f t="shared" si="3"/>
        <v>3.5</v>
      </c>
      <c r="E17">
        <f t="shared" si="2"/>
        <v>3162</v>
      </c>
      <c r="F17">
        <v>15</v>
      </c>
      <c r="G17">
        <f t="shared" si="0"/>
        <v>56.234132519034915</v>
      </c>
      <c r="H17" s="64">
        <f t="shared" si="5"/>
        <v>1.75</v>
      </c>
      <c r="I17">
        <f t="shared" si="1"/>
        <v>56</v>
      </c>
      <c r="K17" s="65">
        <v>100</v>
      </c>
      <c r="O17" s="111">
        <v>0.343055555555556</v>
      </c>
      <c r="P17">
        <v>14</v>
      </c>
    </row>
    <row r="18" spans="2:16" x14ac:dyDescent="0.25">
      <c r="B18">
        <v>16</v>
      </c>
      <c r="C18">
        <f t="shared" si="4"/>
        <v>5623.4132519034993</v>
      </c>
      <c r="D18">
        <f t="shared" si="3"/>
        <v>3.75</v>
      </c>
      <c r="E18">
        <f t="shared" si="2"/>
        <v>5623</v>
      </c>
      <c r="F18">
        <v>16</v>
      </c>
      <c r="G18">
        <f t="shared" si="0"/>
        <v>74.98942093324564</v>
      </c>
      <c r="H18" s="64">
        <f t="shared" si="5"/>
        <v>1.875</v>
      </c>
      <c r="I18">
        <f t="shared" si="1"/>
        <v>75</v>
      </c>
      <c r="K18">
        <v>133</v>
      </c>
      <c r="O18" s="111">
        <v>0.34375</v>
      </c>
      <c r="P18">
        <v>15</v>
      </c>
    </row>
    <row r="19" spans="2:16" x14ac:dyDescent="0.25">
      <c r="B19">
        <v>17</v>
      </c>
      <c r="C19">
        <f t="shared" si="4"/>
        <v>10000</v>
      </c>
      <c r="D19">
        <f t="shared" si="3"/>
        <v>4</v>
      </c>
      <c r="E19" s="65">
        <f t="shared" si="2"/>
        <v>10000</v>
      </c>
      <c r="F19">
        <v>17</v>
      </c>
      <c r="G19">
        <f t="shared" si="0"/>
        <v>100</v>
      </c>
      <c r="H19" s="64">
        <f t="shared" si="5"/>
        <v>2</v>
      </c>
      <c r="I19">
        <f t="shared" si="1"/>
        <v>100</v>
      </c>
      <c r="K19">
        <v>178</v>
      </c>
      <c r="O19" s="111">
        <v>0.344444444444444</v>
      </c>
      <c r="P19">
        <v>16</v>
      </c>
    </row>
    <row r="20" spans="2:16" x14ac:dyDescent="0.25">
      <c r="B20">
        <v>18</v>
      </c>
      <c r="C20">
        <f t="shared" si="4"/>
        <v>17782.794100389234</v>
      </c>
      <c r="D20">
        <f t="shared" si="3"/>
        <v>4.25</v>
      </c>
      <c r="E20">
        <f t="shared" si="2"/>
        <v>17783</v>
      </c>
      <c r="F20">
        <v>18</v>
      </c>
      <c r="G20">
        <f t="shared" si="0"/>
        <v>133.35214321633242</v>
      </c>
      <c r="H20" s="64">
        <f t="shared" si="5"/>
        <v>2.125</v>
      </c>
      <c r="I20">
        <f t="shared" si="1"/>
        <v>133</v>
      </c>
      <c r="K20">
        <v>237</v>
      </c>
      <c r="O20" s="111">
        <v>0.34513888888888899</v>
      </c>
      <c r="P20">
        <v>17</v>
      </c>
    </row>
    <row r="21" spans="2:16" x14ac:dyDescent="0.25">
      <c r="B21">
        <v>19</v>
      </c>
      <c r="C21">
        <f t="shared" si="4"/>
        <v>31622.77660168384</v>
      </c>
      <c r="D21">
        <f t="shared" si="3"/>
        <v>4.5</v>
      </c>
      <c r="E21">
        <f t="shared" si="2"/>
        <v>31623</v>
      </c>
      <c r="F21">
        <v>19</v>
      </c>
      <c r="G21">
        <f t="shared" si="0"/>
        <v>177.82794100389242</v>
      </c>
      <c r="H21" s="64">
        <f t="shared" si="5"/>
        <v>2.25</v>
      </c>
      <c r="I21">
        <f t="shared" si="1"/>
        <v>178</v>
      </c>
      <c r="K21">
        <v>316</v>
      </c>
      <c r="O21" s="111">
        <v>0.34583333333333299</v>
      </c>
      <c r="P21">
        <v>18</v>
      </c>
    </row>
    <row r="22" spans="2:16" x14ac:dyDescent="0.25">
      <c r="B22">
        <v>20</v>
      </c>
      <c r="C22">
        <f>10^D22</f>
        <v>56234.132519034953</v>
      </c>
      <c r="D22">
        <f t="shared" si="3"/>
        <v>4.75</v>
      </c>
      <c r="E22">
        <f t="shared" si="2"/>
        <v>56234</v>
      </c>
      <c r="F22">
        <v>20</v>
      </c>
      <c r="G22">
        <f t="shared" si="0"/>
        <v>237.13737056616563</v>
      </c>
      <c r="H22" s="64">
        <f t="shared" si="5"/>
        <v>2.375</v>
      </c>
      <c r="I22">
        <f t="shared" si="1"/>
        <v>237</v>
      </c>
      <c r="K22">
        <v>422</v>
      </c>
      <c r="O22" s="111">
        <v>0.34652777777777799</v>
      </c>
      <c r="P22">
        <v>19</v>
      </c>
    </row>
    <row r="23" spans="2:16" x14ac:dyDescent="0.25">
      <c r="F23">
        <v>21</v>
      </c>
      <c r="G23">
        <f t="shared" si="0"/>
        <v>316.22776601683825</v>
      </c>
      <c r="H23" s="64">
        <f t="shared" si="5"/>
        <v>2.5</v>
      </c>
      <c r="I23">
        <f t="shared" si="1"/>
        <v>316</v>
      </c>
      <c r="K23">
        <v>562</v>
      </c>
      <c r="O23" s="111">
        <v>0.34722222222222199</v>
      </c>
      <c r="P23">
        <v>20</v>
      </c>
    </row>
    <row r="24" spans="2:16" x14ac:dyDescent="0.25">
      <c r="E24" s="90">
        <f>E22/P498</f>
        <v>113.6040404040404</v>
      </c>
      <c r="F24">
        <v>22</v>
      </c>
      <c r="G24">
        <f t="shared" si="0"/>
        <v>421.69650342858256</v>
      </c>
      <c r="H24" s="64">
        <f t="shared" si="5"/>
        <v>2.625</v>
      </c>
      <c r="I24">
        <f t="shared" si="1"/>
        <v>422</v>
      </c>
      <c r="K24">
        <v>750</v>
      </c>
      <c r="O24" s="111">
        <v>0.34791666666666698</v>
      </c>
      <c r="P24">
        <v>21</v>
      </c>
    </row>
    <row r="25" spans="2:16" x14ac:dyDescent="0.25">
      <c r="E25">
        <f>E24/V6</f>
        <v>5.3944258869075146</v>
      </c>
      <c r="F25">
        <v>23</v>
      </c>
      <c r="G25">
        <f t="shared" si="0"/>
        <v>562.34132519034927</v>
      </c>
      <c r="H25" s="64">
        <f t="shared" si="5"/>
        <v>2.75</v>
      </c>
      <c r="I25">
        <f t="shared" si="1"/>
        <v>562</v>
      </c>
      <c r="K25" s="65">
        <v>1000</v>
      </c>
      <c r="O25" s="111">
        <v>0.34861111111111098</v>
      </c>
      <c r="P25">
        <v>22</v>
      </c>
    </row>
    <row r="26" spans="2:16" x14ac:dyDescent="0.25">
      <c r="F26">
        <v>24</v>
      </c>
      <c r="G26">
        <f t="shared" si="0"/>
        <v>749.89420933245651</v>
      </c>
      <c r="H26" s="64">
        <f t="shared" si="5"/>
        <v>2.875</v>
      </c>
      <c r="I26">
        <f t="shared" si="1"/>
        <v>750</v>
      </c>
      <c r="K26">
        <v>1334</v>
      </c>
      <c r="O26" s="111">
        <v>0.34930555555555598</v>
      </c>
      <c r="P26">
        <v>23</v>
      </c>
    </row>
    <row r="27" spans="2:16" x14ac:dyDescent="0.25">
      <c r="F27">
        <v>25</v>
      </c>
      <c r="G27">
        <f t="shared" si="0"/>
        <v>1000</v>
      </c>
      <c r="H27" s="64">
        <f t="shared" si="5"/>
        <v>3</v>
      </c>
      <c r="I27">
        <f t="shared" si="1"/>
        <v>1000</v>
      </c>
      <c r="K27">
        <v>1778</v>
      </c>
      <c r="O27" s="111">
        <v>0.35</v>
      </c>
      <c r="P27">
        <v>24</v>
      </c>
    </row>
    <row r="28" spans="2:16" x14ac:dyDescent="0.25">
      <c r="F28">
        <v>26</v>
      </c>
      <c r="G28">
        <f t="shared" si="0"/>
        <v>1333.5214321633246</v>
      </c>
      <c r="H28" s="64">
        <f t="shared" si="5"/>
        <v>3.125</v>
      </c>
      <c r="I28">
        <f t="shared" si="1"/>
        <v>1334</v>
      </c>
      <c r="K28">
        <v>2371</v>
      </c>
      <c r="O28" s="111">
        <v>0.35069444444444398</v>
      </c>
      <c r="P28">
        <v>25</v>
      </c>
    </row>
    <row r="29" spans="2:16" x14ac:dyDescent="0.25">
      <c r="F29">
        <v>27</v>
      </c>
      <c r="G29">
        <f t="shared" si="0"/>
        <v>1778.2794100389244</v>
      </c>
      <c r="H29" s="64">
        <f t="shared" si="5"/>
        <v>3.25</v>
      </c>
      <c r="I29">
        <f t="shared" si="1"/>
        <v>1778</v>
      </c>
      <c r="K29">
        <v>3162</v>
      </c>
      <c r="O29" s="111">
        <v>0.35138888888888897</v>
      </c>
      <c r="P29">
        <v>26</v>
      </c>
    </row>
    <row r="30" spans="2:16" x14ac:dyDescent="0.25">
      <c r="F30">
        <v>28</v>
      </c>
      <c r="G30">
        <f t="shared" si="0"/>
        <v>2371.3737056616569</v>
      </c>
      <c r="H30" s="64">
        <f t="shared" si="5"/>
        <v>3.375</v>
      </c>
      <c r="I30">
        <f t="shared" si="1"/>
        <v>2371</v>
      </c>
      <c r="K30">
        <v>4217</v>
      </c>
      <c r="O30" s="111">
        <v>0.35208333333333303</v>
      </c>
      <c r="P30">
        <v>27</v>
      </c>
    </row>
    <row r="31" spans="2:16" x14ac:dyDescent="0.25">
      <c r="F31">
        <v>29</v>
      </c>
      <c r="G31">
        <f t="shared" si="0"/>
        <v>3162.2776601683804</v>
      </c>
      <c r="H31" s="64">
        <f t="shared" si="5"/>
        <v>3.5</v>
      </c>
      <c r="I31">
        <f t="shared" si="1"/>
        <v>3162</v>
      </c>
      <c r="K31">
        <v>5623</v>
      </c>
      <c r="O31" s="111">
        <v>0.35277777777777802</v>
      </c>
      <c r="P31">
        <v>28</v>
      </c>
    </row>
    <row r="32" spans="2:16" x14ac:dyDescent="0.25">
      <c r="F32">
        <v>30</v>
      </c>
      <c r="G32">
        <f t="shared" si="0"/>
        <v>4216.9650342858258</v>
      </c>
      <c r="H32" s="64">
        <f t="shared" si="5"/>
        <v>3.625</v>
      </c>
      <c r="I32">
        <f t="shared" si="1"/>
        <v>4217</v>
      </c>
      <c r="K32">
        <v>7499</v>
      </c>
      <c r="O32" s="111">
        <v>0.35347222222222202</v>
      </c>
      <c r="P32">
        <v>29</v>
      </c>
    </row>
    <row r="33" spans="6:16" x14ac:dyDescent="0.25">
      <c r="F33">
        <v>31</v>
      </c>
      <c r="G33">
        <f t="shared" si="0"/>
        <v>5623.4132519034993</v>
      </c>
      <c r="H33" s="64">
        <f t="shared" si="5"/>
        <v>3.75</v>
      </c>
      <c r="I33">
        <f t="shared" si="1"/>
        <v>5623</v>
      </c>
      <c r="K33" s="65">
        <v>10000</v>
      </c>
      <c r="O33" s="111">
        <v>0.35416666666666702</v>
      </c>
      <c r="P33">
        <v>30</v>
      </c>
    </row>
    <row r="34" spans="6:16" x14ac:dyDescent="0.25">
      <c r="F34">
        <v>32</v>
      </c>
      <c r="G34">
        <f t="shared" si="0"/>
        <v>7498.9420933245601</v>
      </c>
      <c r="H34" s="64">
        <f t="shared" si="5"/>
        <v>3.875</v>
      </c>
      <c r="I34">
        <f t="shared" si="1"/>
        <v>7499</v>
      </c>
      <c r="K34">
        <v>13335</v>
      </c>
      <c r="O34" s="111">
        <v>0.35486111111111102</v>
      </c>
      <c r="P34">
        <v>31</v>
      </c>
    </row>
    <row r="35" spans="6:16" x14ac:dyDescent="0.25">
      <c r="F35">
        <v>33</v>
      </c>
      <c r="G35">
        <f t="shared" si="0"/>
        <v>10000</v>
      </c>
      <c r="H35" s="64">
        <f t="shared" si="5"/>
        <v>4</v>
      </c>
      <c r="I35">
        <f t="shared" si="1"/>
        <v>10000</v>
      </c>
      <c r="K35">
        <v>17783</v>
      </c>
      <c r="O35" s="111">
        <v>0.35555555555555501</v>
      </c>
      <c r="P35">
        <v>32</v>
      </c>
    </row>
    <row r="36" spans="6:16" x14ac:dyDescent="0.25">
      <c r="F36">
        <v>34</v>
      </c>
      <c r="G36">
        <f t="shared" si="0"/>
        <v>13335.214321633259</v>
      </c>
      <c r="H36" s="64">
        <f t="shared" si="5"/>
        <v>4.125</v>
      </c>
      <c r="I36">
        <f t="shared" si="1"/>
        <v>13335</v>
      </c>
      <c r="K36">
        <v>23714</v>
      </c>
      <c r="O36" s="111">
        <v>0.35625000000000001</v>
      </c>
      <c r="P36">
        <v>33</v>
      </c>
    </row>
    <row r="37" spans="6:16" x14ac:dyDescent="0.25">
      <c r="F37">
        <v>35</v>
      </c>
      <c r="G37">
        <f t="shared" si="0"/>
        <v>17782.794100389234</v>
      </c>
      <c r="H37" s="64">
        <f t="shared" si="5"/>
        <v>4.25</v>
      </c>
      <c r="I37">
        <f t="shared" si="1"/>
        <v>17783</v>
      </c>
      <c r="K37">
        <v>31623</v>
      </c>
      <c r="O37" s="111">
        <v>0.35694444444444401</v>
      </c>
      <c r="P37">
        <v>34</v>
      </c>
    </row>
    <row r="38" spans="6:16" x14ac:dyDescent="0.25">
      <c r="F38">
        <v>36</v>
      </c>
      <c r="G38">
        <f t="shared" si="0"/>
        <v>23713.737056616574</v>
      </c>
      <c r="H38" s="64">
        <f t="shared" si="5"/>
        <v>4.375</v>
      </c>
      <c r="I38">
        <f t="shared" si="1"/>
        <v>23714</v>
      </c>
      <c r="K38">
        <v>42170</v>
      </c>
      <c r="O38" s="111">
        <v>0.35763888888888901</v>
      </c>
      <c r="P38">
        <v>35</v>
      </c>
    </row>
    <row r="39" spans="6:16" x14ac:dyDescent="0.25">
      <c r="F39">
        <v>37</v>
      </c>
      <c r="G39">
        <f t="shared" si="0"/>
        <v>31622.77660168384</v>
      </c>
      <c r="H39" s="64">
        <f t="shared" si="5"/>
        <v>4.5</v>
      </c>
      <c r="I39">
        <f t="shared" si="1"/>
        <v>31623</v>
      </c>
      <c r="K39">
        <v>56234</v>
      </c>
      <c r="O39" s="111">
        <v>0.358333333333333</v>
      </c>
      <c r="P39">
        <v>36</v>
      </c>
    </row>
    <row r="40" spans="6:16" x14ac:dyDescent="0.25">
      <c r="F40">
        <v>38</v>
      </c>
      <c r="G40">
        <f t="shared" si="0"/>
        <v>42169.650342858236</v>
      </c>
      <c r="H40" s="64">
        <f t="shared" si="5"/>
        <v>4.625</v>
      </c>
      <c r="I40">
        <f t="shared" si="1"/>
        <v>42170</v>
      </c>
      <c r="O40" s="111">
        <v>0.359027777777778</v>
      </c>
      <c r="P40">
        <v>37</v>
      </c>
    </row>
    <row r="41" spans="6:16" x14ac:dyDescent="0.25">
      <c r="F41">
        <v>39</v>
      </c>
      <c r="G41">
        <f t="shared" si="0"/>
        <v>56234.132519034953</v>
      </c>
      <c r="H41" s="64">
        <f>H40+H$2</f>
        <v>4.75</v>
      </c>
      <c r="I41">
        <f t="shared" si="1"/>
        <v>56234</v>
      </c>
      <c r="O41" s="111">
        <v>0.359722222222222</v>
      </c>
      <c r="P41">
        <v>38</v>
      </c>
    </row>
    <row r="42" spans="6:16" x14ac:dyDescent="0.25">
      <c r="H42" s="64"/>
      <c r="O42" s="111">
        <v>0.360416666666666</v>
      </c>
      <c r="P42">
        <v>39</v>
      </c>
    </row>
    <row r="43" spans="6:16" x14ac:dyDescent="0.25">
      <c r="H43" s="64"/>
      <c r="O43" s="111">
        <v>0.36111111111111099</v>
      </c>
      <c r="P43">
        <v>40</v>
      </c>
    </row>
    <row r="44" spans="6:16" x14ac:dyDescent="0.25">
      <c r="H44" s="64"/>
      <c r="O44" s="111">
        <v>0.36180555555555499</v>
      </c>
      <c r="P44">
        <v>41</v>
      </c>
    </row>
    <row r="45" spans="6:16" x14ac:dyDescent="0.25">
      <c r="H45" s="64"/>
      <c r="O45" s="111">
        <v>0.36249999999999999</v>
      </c>
      <c r="P45">
        <v>42</v>
      </c>
    </row>
    <row r="46" spans="6:16" x14ac:dyDescent="0.25">
      <c r="H46" s="64"/>
      <c r="O46" s="111">
        <v>0.36319444444444399</v>
      </c>
      <c r="P46">
        <v>43</v>
      </c>
    </row>
    <row r="47" spans="6:16" x14ac:dyDescent="0.25">
      <c r="H47" s="64"/>
      <c r="O47" s="111">
        <v>0.36388888888888898</v>
      </c>
      <c r="P47">
        <v>44</v>
      </c>
    </row>
    <row r="48" spans="6:16" x14ac:dyDescent="0.25">
      <c r="H48" s="64"/>
      <c r="O48" s="111">
        <v>0.36458333333333298</v>
      </c>
      <c r="P48">
        <v>45</v>
      </c>
    </row>
    <row r="49" spans="8:16" x14ac:dyDescent="0.25">
      <c r="H49" s="64"/>
      <c r="O49" s="111">
        <v>0.36527777777777798</v>
      </c>
      <c r="P49">
        <v>46</v>
      </c>
    </row>
    <row r="50" spans="8:16" x14ac:dyDescent="0.25">
      <c r="H50" s="64"/>
      <c r="O50" s="111">
        <v>0.36597222222222198</v>
      </c>
      <c r="P50">
        <v>47</v>
      </c>
    </row>
    <row r="51" spans="8:16" x14ac:dyDescent="0.25">
      <c r="H51" s="64"/>
      <c r="O51" s="111">
        <v>0.36666666666666697</v>
      </c>
      <c r="P51">
        <v>48</v>
      </c>
    </row>
    <row r="52" spans="8:16" x14ac:dyDescent="0.25">
      <c r="O52" s="111">
        <v>0.36736111111111103</v>
      </c>
      <c r="P52">
        <v>49</v>
      </c>
    </row>
    <row r="53" spans="8:16" x14ac:dyDescent="0.25">
      <c r="O53" s="111">
        <v>0.36805555555555503</v>
      </c>
      <c r="P53">
        <v>50</v>
      </c>
    </row>
    <row r="54" spans="8:16" x14ac:dyDescent="0.25">
      <c r="O54" s="111">
        <v>0.36875000000000002</v>
      </c>
      <c r="P54">
        <v>51</v>
      </c>
    </row>
    <row r="55" spans="8:16" x14ac:dyDescent="0.25">
      <c r="O55" s="111">
        <v>0.36944444444444402</v>
      </c>
      <c r="P55">
        <v>52</v>
      </c>
    </row>
    <row r="56" spans="8:16" x14ac:dyDescent="0.25">
      <c r="O56" s="111">
        <v>0.37013888888888902</v>
      </c>
      <c r="P56">
        <v>53</v>
      </c>
    </row>
    <row r="57" spans="8:16" x14ac:dyDescent="0.25">
      <c r="O57" s="111">
        <v>0.37083333333333302</v>
      </c>
      <c r="P57">
        <v>54</v>
      </c>
    </row>
    <row r="58" spans="8:16" x14ac:dyDescent="0.25">
      <c r="O58" s="111">
        <v>0.37152777777777801</v>
      </c>
      <c r="P58">
        <v>55</v>
      </c>
    </row>
    <row r="59" spans="8:16" x14ac:dyDescent="0.25">
      <c r="O59" s="111">
        <v>0.37222222222222201</v>
      </c>
      <c r="P59">
        <v>56</v>
      </c>
    </row>
    <row r="60" spans="8:16" x14ac:dyDescent="0.25">
      <c r="O60" s="111">
        <v>0.37291666666666701</v>
      </c>
      <c r="P60">
        <v>57</v>
      </c>
    </row>
    <row r="61" spans="8:16" x14ac:dyDescent="0.25">
      <c r="O61" s="111">
        <v>0.37361111111111101</v>
      </c>
      <c r="P61">
        <v>58</v>
      </c>
    </row>
    <row r="62" spans="8:16" x14ac:dyDescent="0.25">
      <c r="O62" s="111">
        <v>0.374305555555555</v>
      </c>
      <c r="P62">
        <v>59</v>
      </c>
    </row>
    <row r="63" spans="8:16" x14ac:dyDescent="0.25">
      <c r="O63" s="111">
        <v>0.375</v>
      </c>
      <c r="P63">
        <v>60</v>
      </c>
    </row>
    <row r="64" spans="8:16" x14ac:dyDescent="0.25">
      <c r="O64" s="111">
        <v>0.375694444444444</v>
      </c>
      <c r="P64">
        <v>61</v>
      </c>
    </row>
    <row r="65" spans="15:16" x14ac:dyDescent="0.25">
      <c r="O65" s="111">
        <v>0.37638888888888899</v>
      </c>
      <c r="P65">
        <v>62</v>
      </c>
    </row>
    <row r="66" spans="15:16" x14ac:dyDescent="0.25">
      <c r="O66" s="111">
        <v>0.37708333333333299</v>
      </c>
      <c r="P66">
        <v>63</v>
      </c>
    </row>
    <row r="67" spans="15:16" x14ac:dyDescent="0.25">
      <c r="O67" s="111">
        <v>0.37777777777777799</v>
      </c>
      <c r="P67">
        <v>64</v>
      </c>
    </row>
    <row r="68" spans="15:16" x14ac:dyDescent="0.25">
      <c r="O68" s="111">
        <v>0.37847222222222199</v>
      </c>
      <c r="P68">
        <v>65</v>
      </c>
    </row>
    <row r="69" spans="15:16" x14ac:dyDescent="0.25">
      <c r="O69" s="111">
        <v>0.37916666666666698</v>
      </c>
      <c r="P69">
        <v>66</v>
      </c>
    </row>
    <row r="70" spans="15:16" x14ac:dyDescent="0.25">
      <c r="O70" s="111">
        <v>0.37986111111111098</v>
      </c>
      <c r="P70">
        <v>67</v>
      </c>
    </row>
    <row r="71" spans="15:16" x14ac:dyDescent="0.25">
      <c r="O71" s="111">
        <v>0.38055555555555498</v>
      </c>
      <c r="P71">
        <v>68</v>
      </c>
    </row>
    <row r="72" spans="15:16" x14ac:dyDescent="0.25">
      <c r="O72" s="111">
        <v>0.38124999999999998</v>
      </c>
      <c r="P72">
        <v>69</v>
      </c>
    </row>
    <row r="73" spans="15:16" x14ac:dyDescent="0.25">
      <c r="O73" s="111">
        <v>0.38194444444444398</v>
      </c>
      <c r="P73">
        <v>70</v>
      </c>
    </row>
    <row r="74" spans="15:16" x14ac:dyDescent="0.25">
      <c r="O74" s="111">
        <v>0.38263888888888897</v>
      </c>
      <c r="P74">
        <v>71</v>
      </c>
    </row>
    <row r="75" spans="15:16" x14ac:dyDescent="0.25">
      <c r="O75" s="111">
        <v>0.38333333333333303</v>
      </c>
      <c r="P75">
        <v>72</v>
      </c>
    </row>
    <row r="76" spans="15:16" x14ac:dyDescent="0.25">
      <c r="O76" s="111">
        <v>0.38402777777777802</v>
      </c>
      <c r="P76">
        <v>73</v>
      </c>
    </row>
    <row r="77" spans="15:16" x14ac:dyDescent="0.25">
      <c r="O77" s="111">
        <v>0.38472222222222202</v>
      </c>
      <c r="P77">
        <v>74</v>
      </c>
    </row>
    <row r="78" spans="15:16" x14ac:dyDescent="0.25">
      <c r="O78" s="111">
        <v>0.38541666666666602</v>
      </c>
      <c r="P78">
        <v>75</v>
      </c>
    </row>
    <row r="79" spans="15:16" x14ac:dyDescent="0.25">
      <c r="O79" s="111">
        <v>0.38611111111111102</v>
      </c>
      <c r="P79">
        <v>76</v>
      </c>
    </row>
    <row r="80" spans="15:16" x14ac:dyDescent="0.25">
      <c r="O80" s="111">
        <v>0.38680555555555501</v>
      </c>
      <c r="P80">
        <v>77</v>
      </c>
    </row>
    <row r="81" spans="15:16" x14ac:dyDescent="0.25">
      <c r="O81" s="111">
        <v>0.38750000000000001</v>
      </c>
      <c r="P81">
        <v>78</v>
      </c>
    </row>
    <row r="82" spans="15:16" x14ac:dyDescent="0.25">
      <c r="O82" s="111">
        <v>0.38819444444444401</v>
      </c>
      <c r="P82">
        <v>79</v>
      </c>
    </row>
    <row r="83" spans="15:16" x14ac:dyDescent="0.25">
      <c r="O83" s="111">
        <v>0.38888888888888901</v>
      </c>
      <c r="P83">
        <v>80</v>
      </c>
    </row>
    <row r="84" spans="15:16" x14ac:dyDescent="0.25">
      <c r="O84" s="111">
        <v>0.389583333333333</v>
      </c>
      <c r="P84">
        <v>81</v>
      </c>
    </row>
    <row r="85" spans="15:16" x14ac:dyDescent="0.25">
      <c r="O85" s="111">
        <v>0.390277777777778</v>
      </c>
      <c r="P85">
        <v>82</v>
      </c>
    </row>
    <row r="86" spans="15:16" x14ac:dyDescent="0.25">
      <c r="O86" s="111">
        <v>0.390972222222222</v>
      </c>
      <c r="P86">
        <v>83</v>
      </c>
    </row>
    <row r="87" spans="15:16" x14ac:dyDescent="0.25">
      <c r="O87" s="111">
        <v>0.391666666666666</v>
      </c>
      <c r="P87">
        <v>84</v>
      </c>
    </row>
    <row r="88" spans="15:16" x14ac:dyDescent="0.25">
      <c r="O88" s="111">
        <v>0.39236111111111099</v>
      </c>
      <c r="P88">
        <v>85</v>
      </c>
    </row>
    <row r="89" spans="15:16" x14ac:dyDescent="0.25">
      <c r="O89" s="111">
        <v>0.39305555555555499</v>
      </c>
      <c r="P89">
        <v>86</v>
      </c>
    </row>
    <row r="90" spans="15:16" x14ac:dyDescent="0.25">
      <c r="O90" s="111">
        <v>0.39374999999999999</v>
      </c>
      <c r="P90">
        <v>87</v>
      </c>
    </row>
    <row r="91" spans="15:16" x14ac:dyDescent="0.25">
      <c r="O91" s="111">
        <v>0.39444444444444399</v>
      </c>
      <c r="P91">
        <v>88</v>
      </c>
    </row>
    <row r="92" spans="15:16" x14ac:dyDescent="0.25">
      <c r="O92" s="111">
        <v>0.39513888888888898</v>
      </c>
      <c r="P92">
        <v>89</v>
      </c>
    </row>
    <row r="93" spans="15:16" x14ac:dyDescent="0.25">
      <c r="O93" s="111">
        <v>0.39583333333333298</v>
      </c>
      <c r="P93">
        <v>90</v>
      </c>
    </row>
    <row r="94" spans="15:16" x14ac:dyDescent="0.25">
      <c r="O94" s="111">
        <v>0.39652777777777798</v>
      </c>
      <c r="P94">
        <v>91</v>
      </c>
    </row>
    <row r="95" spans="15:16" x14ac:dyDescent="0.25">
      <c r="O95" s="111">
        <v>0.39722222222222198</v>
      </c>
      <c r="P95">
        <v>92</v>
      </c>
    </row>
    <row r="96" spans="15:16" x14ac:dyDescent="0.25">
      <c r="O96" s="111">
        <v>0.39791666666666597</v>
      </c>
      <c r="P96">
        <v>93</v>
      </c>
    </row>
    <row r="97" spans="15:16" x14ac:dyDescent="0.25">
      <c r="O97" s="111">
        <v>0.39861111111111103</v>
      </c>
      <c r="P97">
        <v>94</v>
      </c>
    </row>
    <row r="98" spans="15:16" x14ac:dyDescent="0.25">
      <c r="O98" s="111">
        <v>0.39930555555555503</v>
      </c>
      <c r="P98">
        <v>95</v>
      </c>
    </row>
    <row r="99" spans="15:16" x14ac:dyDescent="0.25">
      <c r="O99" s="111">
        <v>0.4</v>
      </c>
      <c r="P99">
        <v>96</v>
      </c>
    </row>
    <row r="100" spans="15:16" x14ac:dyDescent="0.25">
      <c r="O100" s="111">
        <v>0.40069444444444402</v>
      </c>
      <c r="P100">
        <v>97</v>
      </c>
    </row>
    <row r="101" spans="15:16" x14ac:dyDescent="0.25">
      <c r="O101" s="111">
        <v>0.40138888888888902</v>
      </c>
      <c r="P101">
        <v>98</v>
      </c>
    </row>
    <row r="102" spans="15:16" x14ac:dyDescent="0.25">
      <c r="O102" s="111">
        <v>0.40208333333333302</v>
      </c>
      <c r="P102">
        <v>99</v>
      </c>
    </row>
    <row r="103" spans="15:16" x14ac:dyDescent="0.25">
      <c r="O103" s="111">
        <v>0.40277777777777801</v>
      </c>
      <c r="P103">
        <v>100</v>
      </c>
    </row>
    <row r="104" spans="15:16" x14ac:dyDescent="0.25">
      <c r="O104" s="111">
        <v>0.40347222222222201</v>
      </c>
      <c r="P104">
        <v>101</v>
      </c>
    </row>
    <row r="105" spans="15:16" x14ac:dyDescent="0.25">
      <c r="O105" s="111">
        <v>0.40416666666666601</v>
      </c>
      <c r="P105">
        <v>102</v>
      </c>
    </row>
    <row r="106" spans="15:16" x14ac:dyDescent="0.25">
      <c r="O106" s="111">
        <v>0.40486111111111101</v>
      </c>
      <c r="P106">
        <v>103</v>
      </c>
    </row>
    <row r="107" spans="15:16" x14ac:dyDescent="0.25">
      <c r="O107" s="111">
        <v>0.405555555555555</v>
      </c>
      <c r="P107">
        <v>104</v>
      </c>
    </row>
    <row r="108" spans="15:16" x14ac:dyDescent="0.25">
      <c r="O108" s="111">
        <v>0.40625</v>
      </c>
      <c r="P108">
        <v>105</v>
      </c>
    </row>
    <row r="109" spans="15:16" x14ac:dyDescent="0.25">
      <c r="O109" s="111">
        <v>0.406944444444444</v>
      </c>
      <c r="P109">
        <v>106</v>
      </c>
    </row>
    <row r="110" spans="15:16" x14ac:dyDescent="0.25">
      <c r="O110" s="111">
        <v>0.40763888888888899</v>
      </c>
      <c r="P110">
        <v>107</v>
      </c>
    </row>
    <row r="111" spans="15:16" x14ac:dyDescent="0.25">
      <c r="O111" s="111">
        <v>0.40833333333333299</v>
      </c>
      <c r="P111">
        <v>108</v>
      </c>
    </row>
    <row r="112" spans="15:16" x14ac:dyDescent="0.25">
      <c r="O112" s="111">
        <v>0.40902777777777799</v>
      </c>
      <c r="P112">
        <v>109</v>
      </c>
    </row>
    <row r="113" spans="15:16" x14ac:dyDescent="0.25">
      <c r="O113" s="111">
        <v>0.40972222222222199</v>
      </c>
      <c r="P113">
        <v>110</v>
      </c>
    </row>
    <row r="114" spans="15:16" x14ac:dyDescent="0.25">
      <c r="O114" s="111">
        <v>0.41041666666666599</v>
      </c>
      <c r="P114">
        <v>111</v>
      </c>
    </row>
    <row r="115" spans="15:16" x14ac:dyDescent="0.25">
      <c r="O115" s="111">
        <v>0.41111111111111098</v>
      </c>
      <c r="P115">
        <v>112</v>
      </c>
    </row>
    <row r="116" spans="15:16" x14ac:dyDescent="0.25">
      <c r="O116" s="111">
        <v>0.41180555555555498</v>
      </c>
      <c r="P116">
        <v>113</v>
      </c>
    </row>
    <row r="117" spans="15:16" x14ac:dyDescent="0.25">
      <c r="O117" s="111">
        <v>0.41249999999999998</v>
      </c>
      <c r="P117">
        <v>114</v>
      </c>
    </row>
    <row r="118" spans="15:16" x14ac:dyDescent="0.25">
      <c r="O118" s="111">
        <v>0.41319444444444398</v>
      </c>
      <c r="P118">
        <v>115</v>
      </c>
    </row>
    <row r="119" spans="15:16" x14ac:dyDescent="0.25">
      <c r="O119" s="111">
        <v>0.41388888888888897</v>
      </c>
      <c r="P119">
        <v>116</v>
      </c>
    </row>
    <row r="120" spans="15:16" x14ac:dyDescent="0.25">
      <c r="O120" s="111">
        <v>0.41458333333333303</v>
      </c>
      <c r="P120">
        <v>117</v>
      </c>
    </row>
    <row r="121" spans="15:16" x14ac:dyDescent="0.25">
      <c r="O121" s="111">
        <v>0.41527777777777802</v>
      </c>
      <c r="P121">
        <v>118</v>
      </c>
    </row>
    <row r="122" spans="15:16" x14ac:dyDescent="0.25">
      <c r="O122" s="111">
        <v>0.41597222222222202</v>
      </c>
      <c r="P122">
        <v>119</v>
      </c>
    </row>
    <row r="123" spans="15:16" x14ac:dyDescent="0.25">
      <c r="O123" s="111">
        <v>0.41666666666666602</v>
      </c>
      <c r="P123">
        <v>120</v>
      </c>
    </row>
    <row r="124" spans="15:16" x14ac:dyDescent="0.25">
      <c r="O124" s="111">
        <v>0.41736111111111102</v>
      </c>
      <c r="P124">
        <v>121</v>
      </c>
    </row>
    <row r="125" spans="15:16" x14ac:dyDescent="0.25">
      <c r="O125" s="111">
        <v>0.41805555555555501</v>
      </c>
      <c r="P125">
        <v>122</v>
      </c>
    </row>
    <row r="126" spans="15:16" x14ac:dyDescent="0.25">
      <c r="O126" s="111">
        <v>0.41875000000000001</v>
      </c>
      <c r="P126">
        <v>123</v>
      </c>
    </row>
    <row r="127" spans="15:16" x14ac:dyDescent="0.25">
      <c r="O127" s="111">
        <v>0.41944444444444401</v>
      </c>
      <c r="P127">
        <v>124</v>
      </c>
    </row>
    <row r="128" spans="15:16" x14ac:dyDescent="0.25">
      <c r="O128" s="111">
        <v>0.42013888888888901</v>
      </c>
      <c r="P128">
        <v>125</v>
      </c>
    </row>
    <row r="129" spans="15:16" x14ac:dyDescent="0.25">
      <c r="O129" s="111">
        <v>0.420833333333333</v>
      </c>
      <c r="P129">
        <v>126</v>
      </c>
    </row>
    <row r="130" spans="15:16" x14ac:dyDescent="0.25">
      <c r="O130" s="111">
        <v>0.421527777777777</v>
      </c>
      <c r="P130">
        <v>127</v>
      </c>
    </row>
    <row r="131" spans="15:16" x14ac:dyDescent="0.25">
      <c r="O131" s="111">
        <v>0.422222222222222</v>
      </c>
      <c r="P131">
        <v>128</v>
      </c>
    </row>
    <row r="132" spans="15:16" x14ac:dyDescent="0.25">
      <c r="O132" s="111">
        <v>0.422916666666666</v>
      </c>
      <c r="P132">
        <v>129</v>
      </c>
    </row>
    <row r="133" spans="15:16" x14ac:dyDescent="0.25">
      <c r="O133" s="111">
        <v>0.42361111111111099</v>
      </c>
      <c r="P133">
        <v>130</v>
      </c>
    </row>
    <row r="134" spans="15:16" x14ac:dyDescent="0.25">
      <c r="O134" s="111">
        <v>0.42430555555555499</v>
      </c>
      <c r="P134">
        <v>131</v>
      </c>
    </row>
    <row r="135" spans="15:16" x14ac:dyDescent="0.25">
      <c r="O135" s="111">
        <v>0.42499999999999999</v>
      </c>
      <c r="P135">
        <v>132</v>
      </c>
    </row>
    <row r="136" spans="15:16" x14ac:dyDescent="0.25">
      <c r="O136" s="111">
        <v>0.42569444444444399</v>
      </c>
      <c r="P136">
        <v>133</v>
      </c>
    </row>
    <row r="137" spans="15:16" x14ac:dyDescent="0.25">
      <c r="O137" s="111">
        <v>0.42638888888888798</v>
      </c>
      <c r="P137">
        <v>134</v>
      </c>
    </row>
    <row r="138" spans="15:16" x14ac:dyDescent="0.25">
      <c r="O138" s="111">
        <v>0.42708333333333298</v>
      </c>
      <c r="P138">
        <v>135</v>
      </c>
    </row>
    <row r="139" spans="15:16" x14ac:dyDescent="0.25">
      <c r="O139" s="111">
        <v>0.42777777777777698</v>
      </c>
      <c r="P139">
        <v>136</v>
      </c>
    </row>
    <row r="140" spans="15:16" x14ac:dyDescent="0.25">
      <c r="O140" s="111">
        <v>0.42847222222222198</v>
      </c>
      <c r="P140">
        <v>137</v>
      </c>
    </row>
    <row r="141" spans="15:16" x14ac:dyDescent="0.25">
      <c r="O141" s="111">
        <v>0.42916666666666597</v>
      </c>
      <c r="P141">
        <v>138</v>
      </c>
    </row>
    <row r="142" spans="15:16" x14ac:dyDescent="0.25">
      <c r="O142" s="111">
        <v>0.42986111111111103</v>
      </c>
      <c r="P142">
        <v>139</v>
      </c>
    </row>
    <row r="143" spans="15:16" x14ac:dyDescent="0.25">
      <c r="O143" s="111">
        <v>0.43055555555555503</v>
      </c>
      <c r="P143">
        <v>140</v>
      </c>
    </row>
    <row r="144" spans="15:16" x14ac:dyDescent="0.25">
      <c r="O144" s="111">
        <v>0.43125000000000002</v>
      </c>
      <c r="P144">
        <v>141</v>
      </c>
    </row>
    <row r="145" spans="15:16" x14ac:dyDescent="0.25">
      <c r="O145" s="111">
        <v>0.43194444444444402</v>
      </c>
      <c r="P145">
        <v>142</v>
      </c>
    </row>
    <row r="146" spans="15:16" x14ac:dyDescent="0.25">
      <c r="O146" s="111">
        <v>0.43263888888888902</v>
      </c>
      <c r="P146">
        <v>143</v>
      </c>
    </row>
    <row r="147" spans="15:16" x14ac:dyDescent="0.25">
      <c r="O147" s="111">
        <v>0.43333333333333302</v>
      </c>
      <c r="P147">
        <v>144</v>
      </c>
    </row>
    <row r="148" spans="15:16" x14ac:dyDescent="0.25">
      <c r="O148" s="111">
        <v>0.43402777777777701</v>
      </c>
      <c r="P148">
        <v>145</v>
      </c>
    </row>
    <row r="149" spans="15:16" x14ac:dyDescent="0.25">
      <c r="O149" s="111">
        <v>0.43472222222222201</v>
      </c>
      <c r="P149">
        <v>146</v>
      </c>
    </row>
    <row r="150" spans="15:16" x14ac:dyDescent="0.25">
      <c r="O150" s="111">
        <v>0.43541666666666601</v>
      </c>
      <c r="P150">
        <v>147</v>
      </c>
    </row>
    <row r="151" spans="15:16" x14ac:dyDescent="0.25">
      <c r="O151" s="111">
        <v>0.43611111111111001</v>
      </c>
      <c r="P151">
        <v>148</v>
      </c>
    </row>
    <row r="152" spans="15:16" x14ac:dyDescent="0.25">
      <c r="O152" s="111">
        <v>0.436805555555555</v>
      </c>
      <c r="P152">
        <v>149</v>
      </c>
    </row>
    <row r="153" spans="15:16" x14ac:dyDescent="0.25">
      <c r="O153" s="111">
        <v>0.437499999999999</v>
      </c>
      <c r="P153">
        <v>150</v>
      </c>
    </row>
    <row r="154" spans="15:16" x14ac:dyDescent="0.25">
      <c r="O154" s="111">
        <v>0.438194444444444</v>
      </c>
      <c r="P154">
        <v>151</v>
      </c>
    </row>
    <row r="155" spans="15:16" x14ac:dyDescent="0.25">
      <c r="O155" s="111">
        <v>0.438888888888888</v>
      </c>
      <c r="P155">
        <v>152</v>
      </c>
    </row>
    <row r="156" spans="15:16" x14ac:dyDescent="0.25">
      <c r="O156" s="111">
        <v>0.43958333333333299</v>
      </c>
      <c r="P156">
        <v>153</v>
      </c>
    </row>
    <row r="157" spans="15:16" x14ac:dyDescent="0.25">
      <c r="O157" s="111">
        <v>0.44027777777777699</v>
      </c>
      <c r="P157">
        <v>154</v>
      </c>
    </row>
    <row r="158" spans="15:16" x14ac:dyDescent="0.25">
      <c r="O158" s="111">
        <v>0.44097222222222199</v>
      </c>
      <c r="P158">
        <v>155</v>
      </c>
    </row>
    <row r="159" spans="15:16" x14ac:dyDescent="0.25">
      <c r="O159" s="111">
        <v>0.44166666666666599</v>
      </c>
      <c r="P159">
        <v>156</v>
      </c>
    </row>
    <row r="160" spans="15:16" x14ac:dyDescent="0.25">
      <c r="O160" s="111">
        <v>0.44236111111110998</v>
      </c>
      <c r="P160">
        <v>157</v>
      </c>
    </row>
    <row r="161" spans="15:16" x14ac:dyDescent="0.25">
      <c r="O161" s="111">
        <v>0.44305555555555498</v>
      </c>
      <c r="P161">
        <v>158</v>
      </c>
    </row>
    <row r="162" spans="15:16" x14ac:dyDescent="0.25">
      <c r="O162" s="111">
        <v>0.44374999999999898</v>
      </c>
      <c r="P162">
        <v>159</v>
      </c>
    </row>
    <row r="163" spans="15:16" x14ac:dyDescent="0.25">
      <c r="O163" s="111">
        <v>0.44444444444444398</v>
      </c>
      <c r="P163">
        <v>160</v>
      </c>
    </row>
    <row r="164" spans="15:16" x14ac:dyDescent="0.25">
      <c r="O164" s="111">
        <v>0.44513888888888797</v>
      </c>
      <c r="P164">
        <v>161</v>
      </c>
    </row>
    <row r="165" spans="15:16" x14ac:dyDescent="0.25">
      <c r="O165" s="111">
        <v>0.44583333333333303</v>
      </c>
      <c r="P165">
        <v>162</v>
      </c>
    </row>
    <row r="166" spans="15:16" x14ac:dyDescent="0.25">
      <c r="O166" s="111">
        <v>0.44652777777777702</v>
      </c>
      <c r="P166">
        <v>163</v>
      </c>
    </row>
    <row r="167" spans="15:16" x14ac:dyDescent="0.25">
      <c r="O167" s="111">
        <v>0.44722222222222102</v>
      </c>
      <c r="P167">
        <v>164</v>
      </c>
    </row>
    <row r="168" spans="15:16" x14ac:dyDescent="0.25">
      <c r="O168" s="111">
        <v>0.44791666666666602</v>
      </c>
      <c r="P168">
        <v>165</v>
      </c>
    </row>
    <row r="169" spans="15:16" x14ac:dyDescent="0.25">
      <c r="O169" s="111">
        <v>0.44861111111111002</v>
      </c>
      <c r="P169">
        <v>166</v>
      </c>
    </row>
    <row r="170" spans="15:16" x14ac:dyDescent="0.25">
      <c r="O170" s="111">
        <v>0.44930555555555501</v>
      </c>
      <c r="P170">
        <v>167</v>
      </c>
    </row>
    <row r="171" spans="15:16" x14ac:dyDescent="0.25">
      <c r="O171" s="111">
        <v>0.44999999999999901</v>
      </c>
      <c r="P171">
        <v>168</v>
      </c>
    </row>
    <row r="172" spans="15:16" x14ac:dyDescent="0.25">
      <c r="O172" s="111">
        <v>0.45069444444444401</v>
      </c>
      <c r="P172">
        <v>169</v>
      </c>
    </row>
    <row r="173" spans="15:16" x14ac:dyDescent="0.25">
      <c r="O173" s="111">
        <v>0.45138888888888801</v>
      </c>
      <c r="P173">
        <v>170</v>
      </c>
    </row>
    <row r="174" spans="15:16" x14ac:dyDescent="0.25">
      <c r="O174" s="111">
        <v>0.452083333333333</v>
      </c>
      <c r="P174">
        <v>171</v>
      </c>
    </row>
    <row r="175" spans="15:16" x14ac:dyDescent="0.25">
      <c r="O175" s="111">
        <v>0.452777777777777</v>
      </c>
      <c r="P175">
        <v>172</v>
      </c>
    </row>
    <row r="176" spans="15:16" x14ac:dyDescent="0.25">
      <c r="O176" s="111">
        <v>0.453472222222221</v>
      </c>
      <c r="P176">
        <v>173</v>
      </c>
    </row>
    <row r="177" spans="15:16" x14ac:dyDescent="0.25">
      <c r="O177" s="111">
        <v>0.454166666666666</v>
      </c>
      <c r="P177">
        <v>174</v>
      </c>
    </row>
    <row r="178" spans="15:16" x14ac:dyDescent="0.25">
      <c r="O178" s="111">
        <v>0.45486111111110999</v>
      </c>
      <c r="P178">
        <v>175</v>
      </c>
    </row>
    <row r="179" spans="15:16" x14ac:dyDescent="0.25">
      <c r="O179" s="111">
        <v>0.45555555555555499</v>
      </c>
      <c r="P179">
        <v>176</v>
      </c>
    </row>
    <row r="180" spans="15:16" x14ac:dyDescent="0.25">
      <c r="O180" s="111">
        <v>0.45624999999999899</v>
      </c>
      <c r="P180">
        <v>177</v>
      </c>
    </row>
    <row r="181" spans="15:16" x14ac:dyDescent="0.25">
      <c r="O181" s="111">
        <v>0.45694444444444399</v>
      </c>
      <c r="P181">
        <v>178</v>
      </c>
    </row>
    <row r="182" spans="15:16" x14ac:dyDescent="0.25">
      <c r="O182" s="111">
        <v>0.45763888888888798</v>
      </c>
      <c r="P182">
        <v>179</v>
      </c>
    </row>
    <row r="183" spans="15:16" x14ac:dyDescent="0.25">
      <c r="O183" s="111">
        <v>0.45833333333333298</v>
      </c>
      <c r="P183">
        <v>180</v>
      </c>
    </row>
    <row r="184" spans="15:16" x14ac:dyDescent="0.25">
      <c r="O184" s="111">
        <v>0.45902777777777698</v>
      </c>
      <c r="P184">
        <v>181</v>
      </c>
    </row>
    <row r="185" spans="15:16" x14ac:dyDescent="0.25">
      <c r="O185" s="111">
        <v>0.45972222222222098</v>
      </c>
      <c r="P185">
        <v>182</v>
      </c>
    </row>
    <row r="186" spans="15:16" x14ac:dyDescent="0.25">
      <c r="O186" s="111">
        <v>0.46041666666666597</v>
      </c>
      <c r="P186">
        <v>183</v>
      </c>
    </row>
    <row r="187" spans="15:16" x14ac:dyDescent="0.25">
      <c r="O187" s="111">
        <v>0.46111111111110997</v>
      </c>
      <c r="P187">
        <v>184</v>
      </c>
    </row>
    <row r="188" spans="15:16" x14ac:dyDescent="0.25">
      <c r="O188" s="111">
        <v>0.46180555555555503</v>
      </c>
      <c r="P188">
        <v>185</v>
      </c>
    </row>
    <row r="189" spans="15:16" x14ac:dyDescent="0.25">
      <c r="O189" s="111">
        <v>0.46249999999999902</v>
      </c>
      <c r="P189">
        <v>186</v>
      </c>
    </row>
    <row r="190" spans="15:16" x14ac:dyDescent="0.25">
      <c r="O190" s="111">
        <v>0.46319444444444402</v>
      </c>
      <c r="P190">
        <v>187</v>
      </c>
    </row>
    <row r="191" spans="15:16" x14ac:dyDescent="0.25">
      <c r="O191" s="111">
        <v>0.46388888888888802</v>
      </c>
      <c r="P191">
        <v>188</v>
      </c>
    </row>
    <row r="192" spans="15:16" x14ac:dyDescent="0.25">
      <c r="O192" s="111">
        <v>0.46458333333333302</v>
      </c>
      <c r="P192">
        <v>189</v>
      </c>
    </row>
    <row r="193" spans="15:16" x14ac:dyDescent="0.25">
      <c r="O193" s="111">
        <v>0.46527777777777701</v>
      </c>
      <c r="P193">
        <v>190</v>
      </c>
    </row>
    <row r="194" spans="15:16" x14ac:dyDescent="0.25">
      <c r="O194" s="111">
        <v>0.46597222222222101</v>
      </c>
      <c r="P194">
        <v>191</v>
      </c>
    </row>
    <row r="195" spans="15:16" x14ac:dyDescent="0.25">
      <c r="O195" s="111">
        <v>0.46666666666666601</v>
      </c>
      <c r="P195">
        <v>192</v>
      </c>
    </row>
    <row r="196" spans="15:16" x14ac:dyDescent="0.25">
      <c r="O196" s="111">
        <v>0.46736111111111001</v>
      </c>
      <c r="P196">
        <v>193</v>
      </c>
    </row>
    <row r="197" spans="15:16" x14ac:dyDescent="0.25">
      <c r="O197" s="111">
        <v>0.468055555555555</v>
      </c>
      <c r="P197">
        <v>194</v>
      </c>
    </row>
    <row r="198" spans="15:16" x14ac:dyDescent="0.25">
      <c r="O198" s="111">
        <v>0.468749999999999</v>
      </c>
      <c r="P198">
        <v>195</v>
      </c>
    </row>
    <row r="199" spans="15:16" x14ac:dyDescent="0.25">
      <c r="O199" s="111">
        <v>0.469444444444444</v>
      </c>
      <c r="P199">
        <v>196</v>
      </c>
    </row>
    <row r="200" spans="15:16" x14ac:dyDescent="0.25">
      <c r="O200" s="111">
        <v>0.470138888888888</v>
      </c>
      <c r="P200">
        <v>197</v>
      </c>
    </row>
    <row r="201" spans="15:16" x14ac:dyDescent="0.25">
      <c r="O201" s="111">
        <v>0.47083333333333299</v>
      </c>
      <c r="P201">
        <v>198</v>
      </c>
    </row>
    <row r="202" spans="15:16" x14ac:dyDescent="0.25">
      <c r="O202" s="111">
        <v>0.47152777777777699</v>
      </c>
      <c r="P202">
        <v>199</v>
      </c>
    </row>
    <row r="203" spans="15:16" x14ac:dyDescent="0.25">
      <c r="O203" s="111">
        <v>0.47222222222222099</v>
      </c>
      <c r="P203">
        <v>200</v>
      </c>
    </row>
    <row r="204" spans="15:16" x14ac:dyDescent="0.25">
      <c r="O204" s="111">
        <v>0.47291666666666599</v>
      </c>
      <c r="P204">
        <v>201</v>
      </c>
    </row>
    <row r="205" spans="15:16" x14ac:dyDescent="0.25">
      <c r="O205" s="111">
        <v>0.47361111111110998</v>
      </c>
      <c r="P205">
        <v>202</v>
      </c>
    </row>
    <row r="206" spans="15:16" x14ac:dyDescent="0.25">
      <c r="O206" s="111">
        <v>0.47430555555555498</v>
      </c>
      <c r="P206">
        <v>203</v>
      </c>
    </row>
    <row r="207" spans="15:16" x14ac:dyDescent="0.25">
      <c r="O207" s="111">
        <v>0.47499999999999898</v>
      </c>
      <c r="P207">
        <v>204</v>
      </c>
    </row>
    <row r="208" spans="15:16" x14ac:dyDescent="0.25">
      <c r="O208" s="111">
        <v>0.47569444444444398</v>
      </c>
      <c r="P208">
        <v>205</v>
      </c>
    </row>
    <row r="209" spans="15:16" x14ac:dyDescent="0.25">
      <c r="O209" s="111">
        <v>0.47638888888888797</v>
      </c>
      <c r="P209">
        <v>206</v>
      </c>
    </row>
    <row r="210" spans="15:16" x14ac:dyDescent="0.25">
      <c r="O210" s="111">
        <v>0.47708333333333203</v>
      </c>
      <c r="P210">
        <v>207</v>
      </c>
    </row>
    <row r="211" spans="15:16" x14ac:dyDescent="0.25">
      <c r="O211" s="111">
        <v>0.47777777777777702</v>
      </c>
      <c r="P211">
        <v>208</v>
      </c>
    </row>
    <row r="212" spans="15:16" x14ac:dyDescent="0.25">
      <c r="O212" s="111">
        <v>0.47847222222222102</v>
      </c>
      <c r="P212">
        <v>209</v>
      </c>
    </row>
    <row r="213" spans="15:16" x14ac:dyDescent="0.25">
      <c r="O213" s="111">
        <v>0.47916666666666602</v>
      </c>
      <c r="P213">
        <v>210</v>
      </c>
    </row>
    <row r="214" spans="15:16" x14ac:dyDescent="0.25">
      <c r="O214" s="111">
        <v>0.47986111111111002</v>
      </c>
      <c r="P214">
        <v>211</v>
      </c>
    </row>
    <row r="215" spans="15:16" x14ac:dyDescent="0.25">
      <c r="O215" s="111">
        <v>0.48055555555555501</v>
      </c>
      <c r="P215">
        <v>212</v>
      </c>
    </row>
    <row r="216" spans="15:16" x14ac:dyDescent="0.25">
      <c r="O216" s="111">
        <v>0.48124999999999901</v>
      </c>
      <c r="P216">
        <v>213</v>
      </c>
    </row>
    <row r="217" spans="15:16" x14ac:dyDescent="0.25">
      <c r="O217" s="111">
        <v>0.48194444444444401</v>
      </c>
      <c r="P217">
        <v>214</v>
      </c>
    </row>
    <row r="218" spans="15:16" x14ac:dyDescent="0.25">
      <c r="O218" s="111">
        <v>0.48263888888888801</v>
      </c>
      <c r="P218">
        <v>215</v>
      </c>
    </row>
    <row r="219" spans="15:16" x14ac:dyDescent="0.25">
      <c r="O219" s="111">
        <v>0.483333333333332</v>
      </c>
      <c r="P219">
        <v>216</v>
      </c>
    </row>
    <row r="220" spans="15:16" x14ac:dyDescent="0.25">
      <c r="O220" s="111">
        <v>0.484027777777777</v>
      </c>
      <c r="P220">
        <v>217</v>
      </c>
    </row>
    <row r="221" spans="15:16" x14ac:dyDescent="0.25">
      <c r="O221" s="111">
        <v>0.484722222222221</v>
      </c>
      <c r="P221">
        <v>218</v>
      </c>
    </row>
    <row r="222" spans="15:16" x14ac:dyDescent="0.25">
      <c r="O222" s="111">
        <v>0.485416666666666</v>
      </c>
      <c r="P222">
        <v>219</v>
      </c>
    </row>
    <row r="223" spans="15:16" x14ac:dyDescent="0.25">
      <c r="O223" s="111">
        <v>0.48611111111110999</v>
      </c>
      <c r="P223">
        <v>220</v>
      </c>
    </row>
    <row r="224" spans="15:16" x14ac:dyDescent="0.25">
      <c r="O224" s="111">
        <v>0.48680555555555499</v>
      </c>
      <c r="P224">
        <v>221</v>
      </c>
    </row>
    <row r="225" spans="15:16" x14ac:dyDescent="0.25">
      <c r="O225" s="111">
        <v>0.48749999999999899</v>
      </c>
      <c r="P225">
        <v>222</v>
      </c>
    </row>
    <row r="226" spans="15:16" x14ac:dyDescent="0.25">
      <c r="O226" s="111">
        <v>0.48819444444444399</v>
      </c>
      <c r="P226">
        <v>223</v>
      </c>
    </row>
    <row r="227" spans="15:16" x14ac:dyDescent="0.25">
      <c r="O227" s="111">
        <v>0.48888888888888798</v>
      </c>
      <c r="P227">
        <v>224</v>
      </c>
    </row>
    <row r="228" spans="15:16" x14ac:dyDescent="0.25">
      <c r="O228" s="111">
        <v>0.48958333333333198</v>
      </c>
      <c r="P228">
        <v>225</v>
      </c>
    </row>
    <row r="229" spans="15:16" x14ac:dyDescent="0.25">
      <c r="O229" s="111">
        <v>0.49027777777777698</v>
      </c>
      <c r="P229">
        <v>226</v>
      </c>
    </row>
    <row r="230" spans="15:16" x14ac:dyDescent="0.25">
      <c r="O230" s="111">
        <v>0.49097222222222098</v>
      </c>
      <c r="P230">
        <v>227</v>
      </c>
    </row>
    <row r="231" spans="15:16" x14ac:dyDescent="0.25">
      <c r="O231" s="111">
        <v>0.49166666666666597</v>
      </c>
      <c r="P231">
        <v>228</v>
      </c>
    </row>
    <row r="232" spans="15:16" x14ac:dyDescent="0.25">
      <c r="O232" s="111">
        <v>0.49236111111110997</v>
      </c>
      <c r="P232">
        <v>229</v>
      </c>
    </row>
    <row r="233" spans="15:16" x14ac:dyDescent="0.25">
      <c r="O233" s="111">
        <v>0.49305555555555503</v>
      </c>
      <c r="P233">
        <v>230</v>
      </c>
    </row>
    <row r="234" spans="15:16" x14ac:dyDescent="0.25">
      <c r="O234" s="111">
        <v>0.49374999999999902</v>
      </c>
      <c r="P234">
        <v>231</v>
      </c>
    </row>
    <row r="235" spans="15:16" x14ac:dyDescent="0.25">
      <c r="O235" s="111">
        <v>0.49444444444444402</v>
      </c>
      <c r="P235">
        <v>232</v>
      </c>
    </row>
    <row r="236" spans="15:16" x14ac:dyDescent="0.25">
      <c r="O236" s="111">
        <v>0.49513888888888802</v>
      </c>
      <c r="P236">
        <v>233</v>
      </c>
    </row>
    <row r="237" spans="15:16" x14ac:dyDescent="0.25">
      <c r="O237" s="111">
        <v>0.49583333333333202</v>
      </c>
      <c r="P237">
        <v>234</v>
      </c>
    </row>
    <row r="238" spans="15:16" x14ac:dyDescent="0.25">
      <c r="O238" s="111">
        <v>0.49652777777777701</v>
      </c>
      <c r="P238">
        <v>235</v>
      </c>
    </row>
    <row r="239" spans="15:16" x14ac:dyDescent="0.25">
      <c r="O239" s="111">
        <v>0.49722222222222101</v>
      </c>
      <c r="P239">
        <v>236</v>
      </c>
    </row>
    <row r="240" spans="15:16" x14ac:dyDescent="0.25">
      <c r="O240" s="111">
        <v>0.49791666666666601</v>
      </c>
      <c r="P240">
        <v>237</v>
      </c>
    </row>
    <row r="241" spans="15:16" x14ac:dyDescent="0.25">
      <c r="O241" s="111">
        <v>0.49861111111111001</v>
      </c>
      <c r="P241">
        <v>238</v>
      </c>
    </row>
    <row r="242" spans="15:16" x14ac:dyDescent="0.25">
      <c r="O242" s="111">
        <v>0.499305555555555</v>
      </c>
      <c r="P242">
        <v>239</v>
      </c>
    </row>
    <row r="243" spans="15:16" x14ac:dyDescent="0.25">
      <c r="O243" s="111">
        <v>0.499999999999999</v>
      </c>
      <c r="P243">
        <v>240</v>
      </c>
    </row>
    <row r="244" spans="15:16" x14ac:dyDescent="0.25">
      <c r="O244" s="111">
        <v>0.500694444444444</v>
      </c>
      <c r="P244">
        <v>241</v>
      </c>
    </row>
    <row r="245" spans="15:16" x14ac:dyDescent="0.25">
      <c r="O245" s="111">
        <v>0.501388888888888</v>
      </c>
      <c r="P245">
        <v>242</v>
      </c>
    </row>
    <row r="246" spans="15:16" x14ac:dyDescent="0.25">
      <c r="O246" s="111">
        <v>0.50208333333333199</v>
      </c>
      <c r="P246">
        <v>243</v>
      </c>
    </row>
    <row r="247" spans="15:16" x14ac:dyDescent="0.25">
      <c r="O247" s="111">
        <v>0.50277777777777699</v>
      </c>
      <c r="P247">
        <v>244</v>
      </c>
    </row>
    <row r="248" spans="15:16" x14ac:dyDescent="0.25">
      <c r="O248" s="111">
        <v>0.50347222222222099</v>
      </c>
      <c r="P248">
        <v>245</v>
      </c>
    </row>
    <row r="249" spans="15:16" x14ac:dyDescent="0.25">
      <c r="O249" s="111">
        <v>0.50416666666666599</v>
      </c>
      <c r="P249">
        <v>246</v>
      </c>
    </row>
    <row r="250" spans="15:16" x14ac:dyDescent="0.25">
      <c r="O250" s="111">
        <v>0.50486111111110998</v>
      </c>
      <c r="P250">
        <v>247</v>
      </c>
    </row>
    <row r="251" spans="15:16" x14ac:dyDescent="0.25">
      <c r="O251" s="111">
        <v>0.50555555555555498</v>
      </c>
      <c r="P251">
        <v>248</v>
      </c>
    </row>
    <row r="252" spans="15:16" x14ac:dyDescent="0.25">
      <c r="O252" s="111">
        <v>0.50624999999999898</v>
      </c>
      <c r="P252">
        <v>249</v>
      </c>
    </row>
    <row r="253" spans="15:16" x14ac:dyDescent="0.25">
      <c r="O253" s="111">
        <v>0.50694444444444298</v>
      </c>
      <c r="P253">
        <v>250</v>
      </c>
    </row>
    <row r="254" spans="15:16" x14ac:dyDescent="0.25">
      <c r="O254" s="111">
        <v>0.50763888888888797</v>
      </c>
      <c r="P254">
        <v>251</v>
      </c>
    </row>
    <row r="255" spans="15:16" x14ac:dyDescent="0.25">
      <c r="O255" s="111">
        <v>0.50833333333333197</v>
      </c>
      <c r="P255">
        <v>252</v>
      </c>
    </row>
    <row r="256" spans="15:16" x14ac:dyDescent="0.25">
      <c r="O256" s="111">
        <v>0.50902777777777697</v>
      </c>
      <c r="P256">
        <v>253</v>
      </c>
    </row>
    <row r="257" spans="15:16" x14ac:dyDescent="0.25">
      <c r="O257" s="111">
        <v>0.50972222222222097</v>
      </c>
      <c r="P257">
        <v>254</v>
      </c>
    </row>
    <row r="258" spans="15:16" x14ac:dyDescent="0.25">
      <c r="O258" s="111">
        <v>0.51041666666666596</v>
      </c>
      <c r="P258">
        <v>255</v>
      </c>
    </row>
    <row r="259" spans="15:16" x14ac:dyDescent="0.25">
      <c r="O259" s="111">
        <v>0.51111111111110996</v>
      </c>
      <c r="P259">
        <v>256</v>
      </c>
    </row>
    <row r="260" spans="15:16" x14ac:dyDescent="0.25">
      <c r="O260" s="111">
        <v>0.51180555555555496</v>
      </c>
      <c r="P260">
        <v>257</v>
      </c>
    </row>
    <row r="261" spans="15:16" x14ac:dyDescent="0.25">
      <c r="O261" s="111">
        <v>0.51249999999999896</v>
      </c>
      <c r="P261">
        <v>258</v>
      </c>
    </row>
    <row r="262" spans="15:16" x14ac:dyDescent="0.25">
      <c r="O262" s="111">
        <v>0.51319444444444295</v>
      </c>
      <c r="P262">
        <v>259</v>
      </c>
    </row>
    <row r="263" spans="15:16" x14ac:dyDescent="0.25">
      <c r="O263" s="111">
        <v>0.51388888888888795</v>
      </c>
      <c r="P263">
        <v>260</v>
      </c>
    </row>
    <row r="264" spans="15:16" x14ac:dyDescent="0.25">
      <c r="O264" s="111">
        <v>0.51458333333333195</v>
      </c>
      <c r="P264">
        <v>261</v>
      </c>
    </row>
    <row r="265" spans="15:16" x14ac:dyDescent="0.25">
      <c r="O265" s="111">
        <v>0.51527777777777695</v>
      </c>
      <c r="P265">
        <v>262</v>
      </c>
    </row>
    <row r="266" spans="15:16" x14ac:dyDescent="0.25">
      <c r="O266" s="111">
        <v>0.51597222222222106</v>
      </c>
      <c r="P266">
        <v>263</v>
      </c>
    </row>
    <row r="267" spans="15:16" x14ac:dyDescent="0.25">
      <c r="O267" s="111">
        <v>0.51666666666666605</v>
      </c>
      <c r="P267">
        <v>264</v>
      </c>
    </row>
    <row r="268" spans="15:16" x14ac:dyDescent="0.25">
      <c r="O268" s="111">
        <v>0.51736111111111005</v>
      </c>
      <c r="P268">
        <v>265</v>
      </c>
    </row>
    <row r="269" spans="15:16" x14ac:dyDescent="0.25">
      <c r="O269" s="111">
        <v>0.51805555555555505</v>
      </c>
      <c r="P269">
        <v>266</v>
      </c>
    </row>
    <row r="270" spans="15:16" x14ac:dyDescent="0.25">
      <c r="O270" s="111">
        <v>0.51874999999999905</v>
      </c>
      <c r="P270">
        <v>267</v>
      </c>
    </row>
    <row r="271" spans="15:16" x14ac:dyDescent="0.25">
      <c r="O271" s="111">
        <v>0.51944444444444304</v>
      </c>
      <c r="P271">
        <v>268</v>
      </c>
    </row>
    <row r="272" spans="15:16" x14ac:dyDescent="0.25">
      <c r="O272" s="111">
        <v>0.52013888888888804</v>
      </c>
      <c r="P272">
        <v>269</v>
      </c>
    </row>
    <row r="273" spans="15:16" x14ac:dyDescent="0.25">
      <c r="O273" s="111">
        <v>0.52083333333333204</v>
      </c>
      <c r="P273">
        <v>270</v>
      </c>
    </row>
    <row r="274" spans="15:16" x14ac:dyDescent="0.25">
      <c r="O274" s="111">
        <v>0.52152777777777704</v>
      </c>
      <c r="P274">
        <v>271</v>
      </c>
    </row>
    <row r="275" spans="15:16" x14ac:dyDescent="0.25">
      <c r="O275" s="111">
        <v>0.52222222222222103</v>
      </c>
      <c r="P275">
        <v>272</v>
      </c>
    </row>
    <row r="276" spans="15:16" x14ac:dyDescent="0.25">
      <c r="O276" s="111">
        <v>0.52291666666666603</v>
      </c>
      <c r="P276">
        <v>273</v>
      </c>
    </row>
    <row r="277" spans="15:16" x14ac:dyDescent="0.25">
      <c r="O277" s="111">
        <v>0.52361111111111003</v>
      </c>
      <c r="P277">
        <v>274</v>
      </c>
    </row>
    <row r="278" spans="15:16" x14ac:dyDescent="0.25">
      <c r="O278" s="111">
        <v>0.52430555555555503</v>
      </c>
      <c r="P278">
        <v>275</v>
      </c>
    </row>
    <row r="279" spans="15:16" x14ac:dyDescent="0.25">
      <c r="O279" s="111">
        <v>0.52499999999999902</v>
      </c>
      <c r="P279">
        <v>276</v>
      </c>
    </row>
    <row r="280" spans="15:16" x14ac:dyDescent="0.25">
      <c r="O280" s="111">
        <v>0.52569444444444302</v>
      </c>
      <c r="P280">
        <v>277</v>
      </c>
    </row>
    <row r="281" spans="15:16" x14ac:dyDescent="0.25">
      <c r="O281" s="111">
        <v>0.52638888888888802</v>
      </c>
      <c r="P281">
        <v>278</v>
      </c>
    </row>
    <row r="282" spans="15:16" x14ac:dyDescent="0.25">
      <c r="O282" s="111">
        <v>0.52708333333333202</v>
      </c>
      <c r="P282">
        <v>279</v>
      </c>
    </row>
    <row r="283" spans="15:16" x14ac:dyDescent="0.25">
      <c r="O283" s="111">
        <v>0.52777777777777701</v>
      </c>
      <c r="P283">
        <v>280</v>
      </c>
    </row>
    <row r="284" spans="15:16" x14ac:dyDescent="0.25">
      <c r="O284" s="111">
        <v>0.52847222222222101</v>
      </c>
      <c r="P284">
        <v>281</v>
      </c>
    </row>
    <row r="285" spans="15:16" x14ac:dyDescent="0.25">
      <c r="O285" s="111">
        <v>0.52916666666666601</v>
      </c>
      <c r="P285">
        <v>282</v>
      </c>
    </row>
    <row r="286" spans="15:16" x14ac:dyDescent="0.25">
      <c r="O286" s="111">
        <v>0.52986111111111001</v>
      </c>
      <c r="P286">
        <v>283</v>
      </c>
    </row>
    <row r="287" spans="15:16" x14ac:dyDescent="0.25">
      <c r="O287" s="111">
        <v>0.530555555555555</v>
      </c>
      <c r="P287">
        <v>284</v>
      </c>
    </row>
    <row r="288" spans="15:16" x14ac:dyDescent="0.25">
      <c r="O288" s="111">
        <v>0.531249999999999</v>
      </c>
      <c r="P288">
        <v>285</v>
      </c>
    </row>
    <row r="289" spans="15:16" x14ac:dyDescent="0.25">
      <c r="O289" s="111">
        <v>0.531944444444443</v>
      </c>
      <c r="P289">
        <v>286</v>
      </c>
    </row>
    <row r="290" spans="15:16" x14ac:dyDescent="0.25">
      <c r="O290" s="111">
        <v>0.532638888888888</v>
      </c>
      <c r="P290">
        <v>287</v>
      </c>
    </row>
    <row r="291" spans="15:16" x14ac:dyDescent="0.25">
      <c r="O291" s="111">
        <v>0.53333333333333199</v>
      </c>
      <c r="P291">
        <v>288</v>
      </c>
    </row>
    <row r="292" spans="15:16" x14ac:dyDescent="0.25">
      <c r="O292" s="111">
        <v>0.53402777777777699</v>
      </c>
      <c r="P292">
        <v>289</v>
      </c>
    </row>
    <row r="293" spans="15:16" x14ac:dyDescent="0.25">
      <c r="O293" s="111">
        <v>0.53472222222222099</v>
      </c>
      <c r="P293">
        <v>290</v>
      </c>
    </row>
    <row r="294" spans="15:16" x14ac:dyDescent="0.25">
      <c r="O294" s="111">
        <v>0.53541666666666599</v>
      </c>
      <c r="P294">
        <v>291</v>
      </c>
    </row>
    <row r="295" spans="15:16" x14ac:dyDescent="0.25">
      <c r="O295" s="111">
        <v>0.53611111111110998</v>
      </c>
      <c r="P295">
        <v>292</v>
      </c>
    </row>
    <row r="296" spans="15:16" x14ac:dyDescent="0.25">
      <c r="O296" s="111">
        <v>0.53680555555555398</v>
      </c>
      <c r="P296">
        <v>293</v>
      </c>
    </row>
    <row r="297" spans="15:16" x14ac:dyDescent="0.25">
      <c r="O297" s="111">
        <v>0.53749999999999898</v>
      </c>
      <c r="P297">
        <v>294</v>
      </c>
    </row>
    <row r="298" spans="15:16" x14ac:dyDescent="0.25">
      <c r="O298" s="111">
        <v>0.53819444444444298</v>
      </c>
      <c r="P298">
        <v>295</v>
      </c>
    </row>
    <row r="299" spans="15:16" x14ac:dyDescent="0.25">
      <c r="O299" s="111">
        <v>0.53888888888888797</v>
      </c>
      <c r="P299">
        <v>296</v>
      </c>
    </row>
    <row r="300" spans="15:16" x14ac:dyDescent="0.25">
      <c r="O300" s="111">
        <v>0.53958333333333197</v>
      </c>
      <c r="P300">
        <v>297</v>
      </c>
    </row>
    <row r="301" spans="15:16" x14ac:dyDescent="0.25">
      <c r="O301" s="111">
        <v>0.54027777777777697</v>
      </c>
      <c r="P301">
        <v>298</v>
      </c>
    </row>
    <row r="302" spans="15:16" x14ac:dyDescent="0.25">
      <c r="O302" s="111">
        <v>0.54097222222222097</v>
      </c>
      <c r="P302">
        <v>299</v>
      </c>
    </row>
    <row r="303" spans="15:16" x14ac:dyDescent="0.25">
      <c r="O303" s="111">
        <v>0.54166666666666596</v>
      </c>
      <c r="P303">
        <v>300</v>
      </c>
    </row>
    <row r="304" spans="15:16" x14ac:dyDescent="0.25">
      <c r="O304" s="111">
        <v>0.54236111111110996</v>
      </c>
      <c r="P304">
        <v>301</v>
      </c>
    </row>
    <row r="305" spans="15:16" x14ac:dyDescent="0.25">
      <c r="O305" s="111">
        <v>0.54305555555555396</v>
      </c>
      <c r="P305">
        <v>302</v>
      </c>
    </row>
    <row r="306" spans="15:16" x14ac:dyDescent="0.25">
      <c r="O306" s="111">
        <v>0.54374999999999896</v>
      </c>
      <c r="P306">
        <v>303</v>
      </c>
    </row>
    <row r="307" spans="15:16" x14ac:dyDescent="0.25">
      <c r="O307" s="111">
        <v>0.54444444444444295</v>
      </c>
      <c r="P307">
        <v>304</v>
      </c>
    </row>
    <row r="308" spans="15:16" x14ac:dyDescent="0.25">
      <c r="O308" s="111">
        <v>0.54513888888888795</v>
      </c>
      <c r="P308">
        <v>305</v>
      </c>
    </row>
    <row r="309" spans="15:16" x14ac:dyDescent="0.25">
      <c r="O309" s="111">
        <v>0.54583333333333195</v>
      </c>
      <c r="P309">
        <v>306</v>
      </c>
    </row>
    <row r="310" spans="15:16" x14ac:dyDescent="0.25">
      <c r="O310" s="111">
        <v>0.54652777777777695</v>
      </c>
      <c r="P310">
        <v>307</v>
      </c>
    </row>
    <row r="311" spans="15:16" x14ac:dyDescent="0.25">
      <c r="O311" s="111">
        <v>0.54722222222222106</v>
      </c>
      <c r="P311">
        <v>308</v>
      </c>
    </row>
    <row r="312" spans="15:16" x14ac:dyDescent="0.25">
      <c r="O312" s="111">
        <v>0.54791666666666605</v>
      </c>
      <c r="P312">
        <v>309</v>
      </c>
    </row>
    <row r="313" spans="15:16" x14ac:dyDescent="0.25">
      <c r="O313" s="111">
        <v>0.54861111111111005</v>
      </c>
      <c r="P313">
        <v>310</v>
      </c>
    </row>
    <row r="314" spans="15:16" x14ac:dyDescent="0.25">
      <c r="O314" s="111">
        <v>0.54930555555555405</v>
      </c>
      <c r="P314">
        <v>311</v>
      </c>
    </row>
    <row r="315" spans="15:16" x14ac:dyDescent="0.25">
      <c r="O315" s="111">
        <v>0.54999999999999905</v>
      </c>
      <c r="P315">
        <v>312</v>
      </c>
    </row>
    <row r="316" spans="15:16" x14ac:dyDescent="0.25">
      <c r="O316" s="111">
        <v>0.55069444444444304</v>
      </c>
      <c r="P316">
        <v>313</v>
      </c>
    </row>
    <row r="317" spans="15:16" x14ac:dyDescent="0.25">
      <c r="O317" s="111">
        <v>0.55138888888888804</v>
      </c>
      <c r="P317">
        <v>314</v>
      </c>
    </row>
    <row r="318" spans="15:16" x14ac:dyDescent="0.25">
      <c r="O318" s="111">
        <v>0.55208333333333204</v>
      </c>
      <c r="P318">
        <v>315</v>
      </c>
    </row>
    <row r="319" spans="15:16" x14ac:dyDescent="0.25">
      <c r="O319" s="111">
        <v>0.55277777777777704</v>
      </c>
      <c r="P319">
        <v>316</v>
      </c>
    </row>
    <row r="320" spans="15:16" x14ac:dyDescent="0.25">
      <c r="O320" s="111">
        <v>0.55347222222222103</v>
      </c>
      <c r="P320">
        <v>317</v>
      </c>
    </row>
    <row r="321" spans="15:16" x14ac:dyDescent="0.25">
      <c r="O321" s="111">
        <v>0.55416666666666603</v>
      </c>
      <c r="P321">
        <v>318</v>
      </c>
    </row>
    <row r="322" spans="15:16" x14ac:dyDescent="0.25">
      <c r="O322" s="111">
        <v>0.55486111111111003</v>
      </c>
      <c r="P322">
        <v>319</v>
      </c>
    </row>
    <row r="323" spans="15:16" x14ac:dyDescent="0.25">
      <c r="O323" s="111">
        <v>0.55555555555555403</v>
      </c>
      <c r="P323">
        <v>320</v>
      </c>
    </row>
    <row r="324" spans="15:16" x14ac:dyDescent="0.25">
      <c r="O324" s="111">
        <v>0.55624999999999902</v>
      </c>
      <c r="P324">
        <v>321</v>
      </c>
    </row>
    <row r="325" spans="15:16" x14ac:dyDescent="0.25">
      <c r="O325" s="111">
        <v>0.55694444444444302</v>
      </c>
      <c r="P325">
        <v>322</v>
      </c>
    </row>
    <row r="326" spans="15:16" x14ac:dyDescent="0.25">
      <c r="O326" s="111">
        <v>0.55763888888888802</v>
      </c>
      <c r="P326">
        <v>323</v>
      </c>
    </row>
    <row r="327" spans="15:16" x14ac:dyDescent="0.25">
      <c r="O327" s="111">
        <v>0.55833333333333202</v>
      </c>
      <c r="P327">
        <v>324</v>
      </c>
    </row>
    <row r="328" spans="15:16" x14ac:dyDescent="0.25">
      <c r="O328" s="111">
        <v>0.55902777777777701</v>
      </c>
      <c r="P328">
        <v>325</v>
      </c>
    </row>
    <row r="329" spans="15:16" x14ac:dyDescent="0.25">
      <c r="O329" s="111">
        <v>0.55972222222222101</v>
      </c>
      <c r="P329">
        <v>326</v>
      </c>
    </row>
    <row r="330" spans="15:16" x14ac:dyDescent="0.25">
      <c r="O330" s="111">
        <v>0.56041666666666601</v>
      </c>
      <c r="P330">
        <v>327</v>
      </c>
    </row>
    <row r="331" spans="15:16" x14ac:dyDescent="0.25">
      <c r="O331" s="111">
        <v>0.56111111111111001</v>
      </c>
      <c r="P331">
        <v>328</v>
      </c>
    </row>
    <row r="332" spans="15:16" x14ac:dyDescent="0.25">
      <c r="O332" s="111">
        <v>0.561805555555554</v>
      </c>
      <c r="P332">
        <v>329</v>
      </c>
    </row>
    <row r="333" spans="15:16" x14ac:dyDescent="0.25">
      <c r="O333" s="111">
        <v>0.562499999999999</v>
      </c>
      <c r="P333">
        <v>330</v>
      </c>
    </row>
    <row r="334" spans="15:16" x14ac:dyDescent="0.25">
      <c r="O334" s="111">
        <v>0.563194444444443</v>
      </c>
      <c r="P334">
        <v>331</v>
      </c>
    </row>
    <row r="335" spans="15:16" x14ac:dyDescent="0.25">
      <c r="O335" s="111">
        <v>0.563888888888888</v>
      </c>
      <c r="P335">
        <v>332</v>
      </c>
    </row>
    <row r="336" spans="15:16" x14ac:dyDescent="0.25">
      <c r="O336" s="111">
        <v>0.56458333333333199</v>
      </c>
      <c r="P336">
        <v>333</v>
      </c>
    </row>
    <row r="337" spans="15:16" x14ac:dyDescent="0.25">
      <c r="O337" s="111">
        <v>0.56527777777777699</v>
      </c>
      <c r="P337">
        <v>334</v>
      </c>
    </row>
    <row r="338" spans="15:16" x14ac:dyDescent="0.25">
      <c r="O338" s="111">
        <v>0.56597222222222099</v>
      </c>
      <c r="P338">
        <v>335</v>
      </c>
    </row>
    <row r="339" spans="15:16" x14ac:dyDescent="0.25">
      <c r="O339" s="111">
        <v>0.56666666666666599</v>
      </c>
      <c r="P339">
        <v>336</v>
      </c>
    </row>
    <row r="340" spans="15:16" x14ac:dyDescent="0.25">
      <c r="O340" s="111">
        <v>0.56736111111110998</v>
      </c>
      <c r="P340">
        <v>337</v>
      </c>
    </row>
    <row r="341" spans="15:16" x14ac:dyDescent="0.25">
      <c r="O341" s="111">
        <v>0.56805555555555398</v>
      </c>
      <c r="P341">
        <v>338</v>
      </c>
    </row>
    <row r="342" spans="15:16" x14ac:dyDescent="0.25">
      <c r="O342" s="111">
        <v>0.56874999999999898</v>
      </c>
      <c r="P342">
        <v>339</v>
      </c>
    </row>
    <row r="343" spans="15:16" x14ac:dyDescent="0.25">
      <c r="O343" s="111">
        <v>0.56944444444444298</v>
      </c>
      <c r="P343">
        <v>340</v>
      </c>
    </row>
    <row r="344" spans="15:16" x14ac:dyDescent="0.25">
      <c r="O344" s="111">
        <v>0.57013888888888797</v>
      </c>
      <c r="P344">
        <v>341</v>
      </c>
    </row>
    <row r="345" spans="15:16" x14ac:dyDescent="0.25">
      <c r="O345" s="111">
        <v>0.57083333333333197</v>
      </c>
      <c r="P345">
        <v>342</v>
      </c>
    </row>
    <row r="346" spans="15:16" x14ac:dyDescent="0.25">
      <c r="O346" s="111">
        <v>0.57152777777777697</v>
      </c>
      <c r="P346">
        <v>343</v>
      </c>
    </row>
    <row r="347" spans="15:16" x14ac:dyDescent="0.25">
      <c r="O347" s="111">
        <v>0.57222222222222097</v>
      </c>
      <c r="P347">
        <v>344</v>
      </c>
    </row>
    <row r="348" spans="15:16" x14ac:dyDescent="0.25">
      <c r="O348" s="111">
        <v>0.57291666666666496</v>
      </c>
      <c r="P348">
        <v>345</v>
      </c>
    </row>
    <row r="349" spans="15:16" x14ac:dyDescent="0.25">
      <c r="O349" s="111">
        <v>0.57361111111110996</v>
      </c>
      <c r="P349">
        <v>346</v>
      </c>
    </row>
    <row r="350" spans="15:16" x14ac:dyDescent="0.25">
      <c r="O350" s="111">
        <v>0.57430555555555396</v>
      </c>
      <c r="P350">
        <v>347</v>
      </c>
    </row>
    <row r="351" spans="15:16" x14ac:dyDescent="0.25">
      <c r="O351" s="111">
        <v>0.57499999999999896</v>
      </c>
      <c r="P351">
        <v>348</v>
      </c>
    </row>
    <row r="352" spans="15:16" x14ac:dyDescent="0.25">
      <c r="O352" s="111">
        <v>0.57569444444444295</v>
      </c>
      <c r="P352">
        <v>349</v>
      </c>
    </row>
    <row r="353" spans="15:16" x14ac:dyDescent="0.25">
      <c r="O353" s="111">
        <v>0.57638888888888795</v>
      </c>
      <c r="P353">
        <v>350</v>
      </c>
    </row>
    <row r="354" spans="15:16" x14ac:dyDescent="0.25">
      <c r="O354" s="111">
        <v>0.57708333333333195</v>
      </c>
      <c r="P354">
        <v>351</v>
      </c>
    </row>
    <row r="355" spans="15:16" x14ac:dyDescent="0.25">
      <c r="O355" s="111">
        <v>0.57777777777777695</v>
      </c>
      <c r="P355">
        <v>352</v>
      </c>
    </row>
    <row r="356" spans="15:16" x14ac:dyDescent="0.25">
      <c r="O356" s="111">
        <v>0.57847222222222106</v>
      </c>
      <c r="P356">
        <v>353</v>
      </c>
    </row>
    <row r="357" spans="15:16" x14ac:dyDescent="0.25">
      <c r="O357" s="111">
        <v>0.57916666666666505</v>
      </c>
      <c r="P357">
        <v>354</v>
      </c>
    </row>
    <row r="358" spans="15:16" x14ac:dyDescent="0.25">
      <c r="O358" s="111">
        <v>0.57986111111111005</v>
      </c>
      <c r="P358">
        <v>355</v>
      </c>
    </row>
    <row r="359" spans="15:16" x14ac:dyDescent="0.25">
      <c r="O359" s="111">
        <v>0.58055555555555405</v>
      </c>
      <c r="P359">
        <v>356</v>
      </c>
    </row>
    <row r="360" spans="15:16" x14ac:dyDescent="0.25">
      <c r="O360" s="111">
        <v>0.58124999999999905</v>
      </c>
      <c r="P360">
        <v>357</v>
      </c>
    </row>
    <row r="361" spans="15:16" x14ac:dyDescent="0.25">
      <c r="O361" s="111">
        <v>0.58194444444444304</v>
      </c>
      <c r="P361">
        <v>358</v>
      </c>
    </row>
    <row r="362" spans="15:16" x14ac:dyDescent="0.25">
      <c r="O362" s="111">
        <v>0.58263888888888804</v>
      </c>
      <c r="P362">
        <v>359</v>
      </c>
    </row>
    <row r="363" spans="15:16" x14ac:dyDescent="0.25">
      <c r="O363" s="111">
        <v>0.58333333333333204</v>
      </c>
      <c r="P363">
        <v>360</v>
      </c>
    </row>
    <row r="364" spans="15:16" x14ac:dyDescent="0.25">
      <c r="O364" s="111">
        <v>0.58402777777777704</v>
      </c>
      <c r="P364">
        <v>361</v>
      </c>
    </row>
    <row r="365" spans="15:16" x14ac:dyDescent="0.25">
      <c r="O365" s="111">
        <v>0.58472222222222103</v>
      </c>
      <c r="P365">
        <v>362</v>
      </c>
    </row>
    <row r="366" spans="15:16" x14ac:dyDescent="0.25">
      <c r="O366" s="111">
        <v>0.58541666666666503</v>
      </c>
      <c r="P366">
        <v>363</v>
      </c>
    </row>
    <row r="367" spans="15:16" x14ac:dyDescent="0.25">
      <c r="O367" s="111">
        <v>0.58611111111111003</v>
      </c>
      <c r="P367">
        <v>364</v>
      </c>
    </row>
    <row r="368" spans="15:16" x14ac:dyDescent="0.25">
      <c r="O368" s="111">
        <v>0.58680555555555403</v>
      </c>
      <c r="P368">
        <v>365</v>
      </c>
    </row>
    <row r="369" spans="15:16" x14ac:dyDescent="0.25">
      <c r="O369" s="111">
        <v>0.58749999999999902</v>
      </c>
      <c r="P369">
        <v>366</v>
      </c>
    </row>
    <row r="370" spans="15:16" x14ac:dyDescent="0.25">
      <c r="O370" s="111">
        <v>0.58819444444444302</v>
      </c>
      <c r="P370">
        <v>367</v>
      </c>
    </row>
    <row r="371" spans="15:16" x14ac:dyDescent="0.25">
      <c r="O371" s="111">
        <v>0.58888888888888802</v>
      </c>
      <c r="P371">
        <v>368</v>
      </c>
    </row>
    <row r="372" spans="15:16" x14ac:dyDescent="0.25">
      <c r="O372" s="111">
        <v>0.58958333333333202</v>
      </c>
      <c r="P372">
        <v>369</v>
      </c>
    </row>
    <row r="373" spans="15:16" x14ac:dyDescent="0.25">
      <c r="O373" s="111">
        <v>0.59027777777777701</v>
      </c>
      <c r="P373">
        <v>370</v>
      </c>
    </row>
    <row r="374" spans="15:16" x14ac:dyDescent="0.25">
      <c r="O374" s="111">
        <v>0.59097222222222101</v>
      </c>
      <c r="P374">
        <v>371</v>
      </c>
    </row>
    <row r="375" spans="15:16" x14ac:dyDescent="0.25">
      <c r="O375" s="111">
        <v>0.59166666666666501</v>
      </c>
      <c r="P375">
        <v>372</v>
      </c>
    </row>
    <row r="376" spans="15:16" x14ac:dyDescent="0.25">
      <c r="O376" s="111">
        <v>0.59236111111111001</v>
      </c>
      <c r="P376">
        <v>373</v>
      </c>
    </row>
    <row r="377" spans="15:16" x14ac:dyDescent="0.25">
      <c r="O377" s="111">
        <v>0.593055555555554</v>
      </c>
      <c r="P377">
        <v>374</v>
      </c>
    </row>
    <row r="378" spans="15:16" x14ac:dyDescent="0.25">
      <c r="O378" s="111">
        <v>0.593749999999999</v>
      </c>
      <c r="P378">
        <v>375</v>
      </c>
    </row>
    <row r="379" spans="15:16" x14ac:dyDescent="0.25">
      <c r="O379" s="111">
        <v>0.594444444444443</v>
      </c>
      <c r="P379">
        <v>376</v>
      </c>
    </row>
    <row r="380" spans="15:16" x14ac:dyDescent="0.25">
      <c r="O380" s="111">
        <v>0.595138888888888</v>
      </c>
      <c r="P380">
        <v>377</v>
      </c>
    </row>
    <row r="381" spans="15:16" x14ac:dyDescent="0.25">
      <c r="O381" s="111">
        <v>0.59583333333333199</v>
      </c>
      <c r="P381">
        <v>378</v>
      </c>
    </row>
    <row r="382" spans="15:16" x14ac:dyDescent="0.25">
      <c r="O382" s="111">
        <v>0.59652777777777699</v>
      </c>
      <c r="P382">
        <v>379</v>
      </c>
    </row>
    <row r="383" spans="15:16" x14ac:dyDescent="0.25">
      <c r="O383" s="111">
        <v>0.59722222222222099</v>
      </c>
      <c r="P383">
        <v>380</v>
      </c>
    </row>
    <row r="384" spans="15:16" x14ac:dyDescent="0.25">
      <c r="O384" s="111">
        <v>0.59791666666666499</v>
      </c>
      <c r="P384">
        <v>381</v>
      </c>
    </row>
    <row r="385" spans="15:16" x14ac:dyDescent="0.25">
      <c r="O385" s="111">
        <v>0.59861111111110998</v>
      </c>
      <c r="P385">
        <v>382</v>
      </c>
    </row>
    <row r="386" spans="15:16" x14ac:dyDescent="0.25">
      <c r="O386" s="111">
        <v>0.59930555555555498</v>
      </c>
      <c r="P386">
        <v>383</v>
      </c>
    </row>
    <row r="387" spans="15:16" x14ac:dyDescent="0.25">
      <c r="O387" s="111">
        <v>0.6</v>
      </c>
      <c r="P387">
        <v>384</v>
      </c>
    </row>
    <row r="388" spans="15:16" x14ac:dyDescent="0.25">
      <c r="O388" s="111">
        <v>0.60069444444444497</v>
      </c>
      <c r="P388">
        <v>385</v>
      </c>
    </row>
    <row r="389" spans="15:16" x14ac:dyDescent="0.25">
      <c r="O389" s="111">
        <v>0.60138888888888997</v>
      </c>
      <c r="P389">
        <v>386</v>
      </c>
    </row>
    <row r="390" spans="15:16" x14ac:dyDescent="0.25">
      <c r="O390" s="111">
        <v>0.60208333333333497</v>
      </c>
      <c r="P390">
        <v>387</v>
      </c>
    </row>
    <row r="391" spans="15:16" x14ac:dyDescent="0.25">
      <c r="O391" s="111">
        <v>0.60277777777777997</v>
      </c>
      <c r="P391">
        <v>388</v>
      </c>
    </row>
    <row r="392" spans="15:16" x14ac:dyDescent="0.25">
      <c r="O392" s="111">
        <v>0.60347222222222496</v>
      </c>
      <c r="P392">
        <v>389</v>
      </c>
    </row>
    <row r="393" spans="15:16" x14ac:dyDescent="0.25">
      <c r="O393" s="111">
        <v>0.60416666666666996</v>
      </c>
      <c r="P393">
        <v>390</v>
      </c>
    </row>
    <row r="394" spans="15:16" x14ac:dyDescent="0.25">
      <c r="O394" s="111">
        <v>0.60486111111111496</v>
      </c>
      <c r="P394">
        <v>391</v>
      </c>
    </row>
    <row r="395" spans="15:16" x14ac:dyDescent="0.25">
      <c r="O395" s="111">
        <v>0.60555555555555995</v>
      </c>
      <c r="P395">
        <v>392</v>
      </c>
    </row>
    <row r="396" spans="15:16" x14ac:dyDescent="0.25">
      <c r="O396" s="111">
        <v>0.60625000000000495</v>
      </c>
      <c r="P396">
        <v>393</v>
      </c>
    </row>
    <row r="397" spans="15:16" x14ac:dyDescent="0.25">
      <c r="O397" s="111">
        <v>0.60694444444444995</v>
      </c>
      <c r="P397">
        <v>394</v>
      </c>
    </row>
    <row r="398" spans="15:16" x14ac:dyDescent="0.25">
      <c r="O398" s="111">
        <v>0.60763888888889495</v>
      </c>
      <c r="P398">
        <v>395</v>
      </c>
    </row>
    <row r="399" spans="15:16" x14ac:dyDescent="0.25">
      <c r="O399" s="111">
        <v>0.60833333333334005</v>
      </c>
      <c r="P399">
        <v>396</v>
      </c>
    </row>
    <row r="400" spans="15:16" x14ac:dyDescent="0.25">
      <c r="O400" s="111">
        <v>0.60902777777778505</v>
      </c>
      <c r="P400">
        <v>397</v>
      </c>
    </row>
    <row r="401" spans="15:16" x14ac:dyDescent="0.25">
      <c r="O401" s="111">
        <v>0.60972222222223005</v>
      </c>
      <c r="P401">
        <v>398</v>
      </c>
    </row>
    <row r="402" spans="15:16" x14ac:dyDescent="0.25">
      <c r="O402" s="111">
        <v>0.61041666666667505</v>
      </c>
      <c r="P402">
        <v>399</v>
      </c>
    </row>
    <row r="403" spans="15:16" x14ac:dyDescent="0.25">
      <c r="O403" s="111">
        <v>0.61111111111112004</v>
      </c>
      <c r="P403">
        <v>400</v>
      </c>
    </row>
    <row r="404" spans="15:16" x14ac:dyDescent="0.25">
      <c r="O404" s="111">
        <v>0.61180555555556504</v>
      </c>
      <c r="P404">
        <v>401</v>
      </c>
    </row>
    <row r="405" spans="15:16" x14ac:dyDescent="0.25">
      <c r="O405" s="111">
        <v>0.61250000000001004</v>
      </c>
      <c r="P405">
        <v>402</v>
      </c>
    </row>
    <row r="406" spans="15:16" x14ac:dyDescent="0.25">
      <c r="O406" s="111">
        <v>0.61319444444445503</v>
      </c>
      <c r="P406">
        <v>403</v>
      </c>
    </row>
    <row r="407" spans="15:16" x14ac:dyDescent="0.25">
      <c r="O407" s="111">
        <v>0.61388888888890003</v>
      </c>
      <c r="P407">
        <v>404</v>
      </c>
    </row>
    <row r="408" spans="15:16" x14ac:dyDescent="0.25">
      <c r="O408" s="111">
        <v>0.61458333333334503</v>
      </c>
      <c r="P408">
        <v>405</v>
      </c>
    </row>
    <row r="409" spans="15:16" x14ac:dyDescent="0.25">
      <c r="O409" s="111">
        <v>0.61527777777779002</v>
      </c>
      <c r="P409">
        <v>406</v>
      </c>
    </row>
    <row r="410" spans="15:16" x14ac:dyDescent="0.25">
      <c r="O410" s="111">
        <v>0.61597222222223502</v>
      </c>
      <c r="P410">
        <v>407</v>
      </c>
    </row>
    <row r="411" spans="15:16" x14ac:dyDescent="0.25">
      <c r="O411" s="111">
        <v>0.61666666666668002</v>
      </c>
      <c r="P411">
        <v>408</v>
      </c>
    </row>
    <row r="412" spans="15:16" x14ac:dyDescent="0.25">
      <c r="O412" s="111">
        <v>0.61736111111112502</v>
      </c>
      <c r="P412">
        <v>409</v>
      </c>
    </row>
    <row r="413" spans="15:16" x14ac:dyDescent="0.25">
      <c r="O413" s="111">
        <v>0.61805555555557001</v>
      </c>
      <c r="P413">
        <v>410</v>
      </c>
    </row>
    <row r="414" spans="15:16" x14ac:dyDescent="0.25">
      <c r="O414" s="111">
        <v>0.61875000000001501</v>
      </c>
      <c r="P414">
        <v>411</v>
      </c>
    </row>
    <row r="415" spans="15:16" x14ac:dyDescent="0.25">
      <c r="O415" s="111">
        <v>0.61944444444446001</v>
      </c>
      <c r="P415">
        <v>412</v>
      </c>
    </row>
    <row r="416" spans="15:16" x14ac:dyDescent="0.25">
      <c r="O416" s="111">
        <v>0.620138888888905</v>
      </c>
      <c r="P416">
        <v>413</v>
      </c>
    </row>
    <row r="417" spans="15:16" x14ac:dyDescent="0.25">
      <c r="O417" s="111">
        <v>0.62083333333335</v>
      </c>
      <c r="P417">
        <v>414</v>
      </c>
    </row>
    <row r="418" spans="15:16" x14ac:dyDescent="0.25">
      <c r="O418" s="111">
        <v>0.621527777777795</v>
      </c>
      <c r="P418">
        <v>415</v>
      </c>
    </row>
    <row r="419" spans="15:16" x14ac:dyDescent="0.25">
      <c r="O419" s="111">
        <v>0.62222222222224</v>
      </c>
      <c r="P419">
        <v>416</v>
      </c>
    </row>
    <row r="420" spans="15:16" x14ac:dyDescent="0.25">
      <c r="O420" s="111">
        <v>0.62291666666668499</v>
      </c>
      <c r="P420">
        <v>417</v>
      </c>
    </row>
    <row r="421" spans="15:16" x14ac:dyDescent="0.25">
      <c r="O421" s="111">
        <v>0.62361111111112999</v>
      </c>
      <c r="P421">
        <v>418</v>
      </c>
    </row>
    <row r="422" spans="15:16" x14ac:dyDescent="0.25">
      <c r="O422" s="111">
        <v>0.62430555555557499</v>
      </c>
      <c r="P422">
        <v>419</v>
      </c>
    </row>
    <row r="423" spans="15:16" x14ac:dyDescent="0.25">
      <c r="O423" s="111">
        <v>0.62500000000001998</v>
      </c>
      <c r="P423">
        <v>420</v>
      </c>
    </row>
    <row r="424" spans="15:16" x14ac:dyDescent="0.25">
      <c r="O424" s="111">
        <v>0.62569444444446498</v>
      </c>
      <c r="P424">
        <v>421</v>
      </c>
    </row>
    <row r="425" spans="15:16" x14ac:dyDescent="0.25">
      <c r="O425" s="111">
        <v>0.62638888888890998</v>
      </c>
      <c r="P425">
        <v>422</v>
      </c>
    </row>
    <row r="426" spans="15:16" x14ac:dyDescent="0.25">
      <c r="O426" s="111">
        <v>0.62708333333335498</v>
      </c>
      <c r="P426">
        <v>423</v>
      </c>
    </row>
    <row r="427" spans="15:16" x14ac:dyDescent="0.25">
      <c r="O427" s="111">
        <v>0.62777777777779997</v>
      </c>
      <c r="P427">
        <v>424</v>
      </c>
    </row>
    <row r="428" spans="15:16" x14ac:dyDescent="0.25">
      <c r="O428" s="111">
        <v>0.62847222222224497</v>
      </c>
      <c r="P428">
        <v>425</v>
      </c>
    </row>
    <row r="429" spans="15:16" x14ac:dyDescent="0.25">
      <c r="O429" s="111">
        <v>0.62916666666668997</v>
      </c>
      <c r="P429">
        <v>426</v>
      </c>
    </row>
    <row r="430" spans="15:16" x14ac:dyDescent="0.25">
      <c r="O430" s="111">
        <v>0.62986111111113496</v>
      </c>
      <c r="P430">
        <v>427</v>
      </c>
    </row>
    <row r="431" spans="15:16" x14ac:dyDescent="0.25">
      <c r="O431" s="111">
        <v>0.63055555555557996</v>
      </c>
      <c r="P431">
        <v>428</v>
      </c>
    </row>
    <row r="432" spans="15:16" x14ac:dyDescent="0.25">
      <c r="O432" s="111">
        <v>0.63125000000002496</v>
      </c>
      <c r="P432">
        <v>429</v>
      </c>
    </row>
    <row r="433" spans="15:16" x14ac:dyDescent="0.25">
      <c r="O433" s="111">
        <v>0.63194444444446995</v>
      </c>
      <c r="P433">
        <v>430</v>
      </c>
    </row>
    <row r="434" spans="15:16" x14ac:dyDescent="0.25">
      <c r="O434" s="111">
        <v>0.63263888888891495</v>
      </c>
      <c r="P434">
        <v>431</v>
      </c>
    </row>
    <row r="435" spans="15:16" x14ac:dyDescent="0.25">
      <c r="O435" s="111">
        <v>0.63333333333335995</v>
      </c>
      <c r="P435">
        <v>432</v>
      </c>
    </row>
    <row r="436" spans="15:16" x14ac:dyDescent="0.25">
      <c r="O436" s="111">
        <v>0.63402777777780495</v>
      </c>
      <c r="P436">
        <v>433</v>
      </c>
    </row>
    <row r="437" spans="15:16" x14ac:dyDescent="0.25">
      <c r="O437" s="111">
        <v>0.63472222222225005</v>
      </c>
      <c r="P437">
        <v>434</v>
      </c>
    </row>
    <row r="438" spans="15:16" x14ac:dyDescent="0.25">
      <c r="O438" s="111">
        <v>0.63541666666669505</v>
      </c>
      <c r="P438">
        <v>435</v>
      </c>
    </row>
    <row r="439" spans="15:16" x14ac:dyDescent="0.25">
      <c r="O439" s="111">
        <v>0.63611111111114005</v>
      </c>
      <c r="P439">
        <v>436</v>
      </c>
    </row>
    <row r="440" spans="15:16" x14ac:dyDescent="0.25">
      <c r="O440" s="111">
        <v>0.63680555555558505</v>
      </c>
      <c r="P440">
        <v>437</v>
      </c>
    </row>
    <row r="441" spans="15:16" x14ac:dyDescent="0.25">
      <c r="O441" s="111">
        <v>0.63750000000003004</v>
      </c>
      <c r="P441">
        <v>438</v>
      </c>
    </row>
    <row r="442" spans="15:16" x14ac:dyDescent="0.25">
      <c r="O442" s="111">
        <v>0.63819444444447504</v>
      </c>
      <c r="P442">
        <v>439</v>
      </c>
    </row>
    <row r="443" spans="15:16" x14ac:dyDescent="0.25">
      <c r="O443" s="111">
        <v>0.63888888888892004</v>
      </c>
      <c r="P443">
        <v>440</v>
      </c>
    </row>
    <row r="444" spans="15:16" x14ac:dyDescent="0.25">
      <c r="O444" s="111">
        <v>0.63958333333336503</v>
      </c>
      <c r="P444">
        <v>441</v>
      </c>
    </row>
    <row r="445" spans="15:16" x14ac:dyDescent="0.25">
      <c r="O445" s="111">
        <v>0.64027777777781003</v>
      </c>
      <c r="P445">
        <v>442</v>
      </c>
    </row>
    <row r="446" spans="15:16" x14ac:dyDescent="0.25">
      <c r="O446" s="111">
        <v>0.64097222222225503</v>
      </c>
      <c r="P446">
        <v>443</v>
      </c>
    </row>
    <row r="447" spans="15:16" x14ac:dyDescent="0.25">
      <c r="O447" s="111">
        <v>0.64166666666670003</v>
      </c>
      <c r="P447">
        <v>444</v>
      </c>
    </row>
    <row r="448" spans="15:16" x14ac:dyDescent="0.25">
      <c r="O448" s="111">
        <v>0.64236111111114502</v>
      </c>
      <c r="P448">
        <v>445</v>
      </c>
    </row>
    <row r="449" spans="15:16" x14ac:dyDescent="0.25">
      <c r="O449" s="111">
        <v>0.64305555555559002</v>
      </c>
      <c r="P449">
        <v>446</v>
      </c>
    </row>
    <row r="450" spans="15:16" x14ac:dyDescent="0.25">
      <c r="O450" s="111">
        <v>0.64375000000003502</v>
      </c>
      <c r="P450">
        <v>447</v>
      </c>
    </row>
    <row r="451" spans="15:16" x14ac:dyDescent="0.25">
      <c r="O451" s="111">
        <v>0.64444444444448001</v>
      </c>
      <c r="P451">
        <v>448</v>
      </c>
    </row>
    <row r="452" spans="15:16" x14ac:dyDescent="0.25">
      <c r="O452" s="111">
        <v>0.64513888888892501</v>
      </c>
      <c r="P452">
        <v>449</v>
      </c>
    </row>
    <row r="453" spans="15:16" x14ac:dyDescent="0.25">
      <c r="O453" s="111">
        <v>0.64583333333337001</v>
      </c>
      <c r="P453">
        <v>450</v>
      </c>
    </row>
    <row r="454" spans="15:16" x14ac:dyDescent="0.25">
      <c r="O454" s="111">
        <v>0.646527777777815</v>
      </c>
      <c r="P454">
        <v>451</v>
      </c>
    </row>
    <row r="455" spans="15:16" x14ac:dyDescent="0.25">
      <c r="O455" s="111">
        <v>0.64722222222226</v>
      </c>
      <c r="P455">
        <v>452</v>
      </c>
    </row>
    <row r="456" spans="15:16" x14ac:dyDescent="0.25">
      <c r="O456" s="111">
        <v>0.647916666666705</v>
      </c>
      <c r="P456">
        <v>453</v>
      </c>
    </row>
    <row r="457" spans="15:16" x14ac:dyDescent="0.25">
      <c r="O457" s="111">
        <v>0.64861111111115</v>
      </c>
      <c r="P457">
        <v>454</v>
      </c>
    </row>
    <row r="458" spans="15:16" x14ac:dyDescent="0.25">
      <c r="O458" s="111">
        <v>0.64930555555559499</v>
      </c>
      <c r="P458">
        <v>455</v>
      </c>
    </row>
    <row r="459" spans="15:16" x14ac:dyDescent="0.25">
      <c r="O459" s="111">
        <v>0.65000000000003999</v>
      </c>
      <c r="P459">
        <v>456</v>
      </c>
    </row>
    <row r="460" spans="15:16" x14ac:dyDescent="0.25">
      <c r="O460" s="111">
        <v>0.65069444444448499</v>
      </c>
      <c r="P460">
        <v>457</v>
      </c>
    </row>
    <row r="461" spans="15:16" x14ac:dyDescent="0.25">
      <c r="O461" s="111">
        <v>0.65138888888892998</v>
      </c>
      <c r="P461">
        <v>458</v>
      </c>
    </row>
    <row r="462" spans="15:16" x14ac:dyDescent="0.25">
      <c r="O462" s="111">
        <v>0.65208333333337498</v>
      </c>
      <c r="P462">
        <v>459</v>
      </c>
    </row>
    <row r="463" spans="15:16" x14ac:dyDescent="0.25">
      <c r="O463" s="111">
        <v>0.65277777777781998</v>
      </c>
      <c r="P463">
        <v>460</v>
      </c>
    </row>
    <row r="464" spans="15:16" x14ac:dyDescent="0.25">
      <c r="O464" s="111">
        <v>0.65347222222226498</v>
      </c>
      <c r="P464">
        <v>461</v>
      </c>
    </row>
    <row r="465" spans="15:16" x14ac:dyDescent="0.25">
      <c r="O465" s="111">
        <v>0.65416666666670997</v>
      </c>
      <c r="P465">
        <v>462</v>
      </c>
    </row>
    <row r="466" spans="15:16" x14ac:dyDescent="0.25">
      <c r="O466" s="111">
        <v>0.65486111111115497</v>
      </c>
      <c r="P466">
        <v>463</v>
      </c>
    </row>
    <row r="467" spans="15:16" x14ac:dyDescent="0.25">
      <c r="O467" s="111">
        <v>0.65555555555559997</v>
      </c>
      <c r="P467">
        <v>464</v>
      </c>
    </row>
    <row r="468" spans="15:16" x14ac:dyDescent="0.25">
      <c r="O468" s="111">
        <v>0.65625000000004496</v>
      </c>
      <c r="P468">
        <v>465</v>
      </c>
    </row>
    <row r="469" spans="15:16" x14ac:dyDescent="0.25">
      <c r="O469" s="111">
        <v>0.65694444444448996</v>
      </c>
      <c r="P469">
        <v>466</v>
      </c>
    </row>
    <row r="470" spans="15:16" x14ac:dyDescent="0.25">
      <c r="O470" s="111">
        <v>0.65763888888893496</v>
      </c>
      <c r="P470">
        <v>467</v>
      </c>
    </row>
    <row r="471" spans="15:16" x14ac:dyDescent="0.25">
      <c r="O471" s="111">
        <v>0.65833333333337996</v>
      </c>
      <c r="P471">
        <v>468</v>
      </c>
    </row>
    <row r="472" spans="15:16" x14ac:dyDescent="0.25">
      <c r="O472" s="111">
        <v>0.65902777777782495</v>
      </c>
      <c r="P472">
        <v>469</v>
      </c>
    </row>
    <row r="473" spans="15:16" x14ac:dyDescent="0.25">
      <c r="O473" s="111">
        <v>0.65972222222226995</v>
      </c>
      <c r="P473">
        <v>470</v>
      </c>
    </row>
    <row r="474" spans="15:16" x14ac:dyDescent="0.25">
      <c r="O474" s="111">
        <v>0.66041666666671495</v>
      </c>
      <c r="P474">
        <v>471</v>
      </c>
    </row>
    <row r="475" spans="15:16" x14ac:dyDescent="0.25">
      <c r="O475" s="111">
        <v>0.66111111111116005</v>
      </c>
      <c r="P475">
        <v>472</v>
      </c>
    </row>
    <row r="476" spans="15:16" x14ac:dyDescent="0.25">
      <c r="O476" s="111">
        <v>0.66180555555560505</v>
      </c>
      <c r="P476">
        <v>473</v>
      </c>
    </row>
    <row r="477" spans="15:16" x14ac:dyDescent="0.25">
      <c r="O477" s="111">
        <v>0.66250000000005005</v>
      </c>
      <c r="P477">
        <v>474</v>
      </c>
    </row>
    <row r="478" spans="15:16" x14ac:dyDescent="0.25">
      <c r="O478" s="111">
        <v>0.66319444444449505</v>
      </c>
      <c r="P478">
        <v>475</v>
      </c>
    </row>
    <row r="479" spans="15:16" x14ac:dyDescent="0.25">
      <c r="O479" s="111">
        <v>0.66388888888894004</v>
      </c>
      <c r="P479">
        <v>476</v>
      </c>
    </row>
    <row r="480" spans="15:16" x14ac:dyDescent="0.25">
      <c r="O480" s="111">
        <v>0.66458333333338504</v>
      </c>
      <c r="P480">
        <v>477</v>
      </c>
    </row>
    <row r="481" spans="15:16" x14ac:dyDescent="0.25">
      <c r="O481" s="111">
        <v>0.66527777777783004</v>
      </c>
      <c r="P481">
        <v>478</v>
      </c>
    </row>
    <row r="482" spans="15:16" x14ac:dyDescent="0.25">
      <c r="O482" s="111">
        <v>0.66597222222227503</v>
      </c>
      <c r="P482">
        <v>479</v>
      </c>
    </row>
    <row r="483" spans="15:16" x14ac:dyDescent="0.25">
      <c r="O483" s="111">
        <v>0.66666666666672003</v>
      </c>
      <c r="P483">
        <v>480</v>
      </c>
    </row>
    <row r="484" spans="15:16" x14ac:dyDescent="0.25">
      <c r="O484" s="111">
        <v>0.66736111111116503</v>
      </c>
      <c r="P484">
        <v>481</v>
      </c>
    </row>
    <row r="485" spans="15:16" x14ac:dyDescent="0.25">
      <c r="O485" s="111">
        <v>0.66805555555561003</v>
      </c>
      <c r="P485">
        <v>482</v>
      </c>
    </row>
    <row r="486" spans="15:16" x14ac:dyDescent="0.25">
      <c r="O486" s="111">
        <v>0.66875000000005502</v>
      </c>
      <c r="P486">
        <v>483</v>
      </c>
    </row>
    <row r="487" spans="15:16" x14ac:dyDescent="0.25">
      <c r="O487" s="111">
        <v>0.66944444444450002</v>
      </c>
      <c r="P487">
        <v>484</v>
      </c>
    </row>
    <row r="488" spans="15:16" x14ac:dyDescent="0.25">
      <c r="O488" s="111">
        <v>0.67013888888894502</v>
      </c>
      <c r="P488">
        <v>485</v>
      </c>
    </row>
    <row r="489" spans="15:16" x14ac:dyDescent="0.25">
      <c r="O489" s="111">
        <v>0.67083333333339001</v>
      </c>
      <c r="P489">
        <v>486</v>
      </c>
    </row>
    <row r="490" spans="15:16" x14ac:dyDescent="0.25">
      <c r="O490" s="111">
        <v>0.67152777777783501</v>
      </c>
      <c r="P490">
        <v>487</v>
      </c>
    </row>
    <row r="491" spans="15:16" x14ac:dyDescent="0.25">
      <c r="O491" s="111">
        <v>0.67222222222228001</v>
      </c>
      <c r="P491">
        <v>488</v>
      </c>
    </row>
    <row r="492" spans="15:16" x14ac:dyDescent="0.25">
      <c r="O492" s="111">
        <v>0.67291666666672501</v>
      </c>
      <c r="P492">
        <v>489</v>
      </c>
    </row>
    <row r="493" spans="15:16" x14ac:dyDescent="0.25">
      <c r="O493" s="111">
        <v>0.67361111111117</v>
      </c>
      <c r="P493">
        <v>490</v>
      </c>
    </row>
    <row r="494" spans="15:16" x14ac:dyDescent="0.25">
      <c r="O494" s="111">
        <v>0.674305555555615</v>
      </c>
      <c r="P494">
        <v>491</v>
      </c>
    </row>
    <row r="495" spans="15:16" x14ac:dyDescent="0.25">
      <c r="O495" s="111">
        <v>0.67500000000006</v>
      </c>
      <c r="P495">
        <v>492</v>
      </c>
    </row>
    <row r="496" spans="15:16" x14ac:dyDescent="0.25">
      <c r="O496" s="111">
        <v>0.67569444444450499</v>
      </c>
      <c r="P496">
        <v>493</v>
      </c>
    </row>
    <row r="497" spans="15:16" x14ac:dyDescent="0.25">
      <c r="O497" s="111">
        <v>0.67638888888894999</v>
      </c>
      <c r="P497">
        <v>494</v>
      </c>
    </row>
    <row r="498" spans="15:16" x14ac:dyDescent="0.25">
      <c r="O498" s="111">
        <v>0.67708333333339499</v>
      </c>
      <c r="P498">
        <v>495</v>
      </c>
    </row>
    <row r="499" spans="15:16" x14ac:dyDescent="0.25">
      <c r="O499" s="111"/>
    </row>
    <row r="500" spans="15:16" x14ac:dyDescent="0.25">
      <c r="O500" s="111"/>
    </row>
    <row r="501" spans="15:16" x14ac:dyDescent="0.25">
      <c r="O501" s="111"/>
    </row>
    <row r="502" spans="15:16" x14ac:dyDescent="0.25">
      <c r="O502" s="111"/>
    </row>
    <row r="503" spans="15:16" x14ac:dyDescent="0.25">
      <c r="O503" s="111"/>
    </row>
    <row r="504" spans="15:16" x14ac:dyDescent="0.25">
      <c r="O504" s="111"/>
    </row>
    <row r="505" spans="15:16" x14ac:dyDescent="0.25">
      <c r="O505" s="111"/>
    </row>
    <row r="506" spans="15:16" x14ac:dyDescent="0.25">
      <c r="O506" s="111"/>
    </row>
    <row r="507" spans="15:16" x14ac:dyDescent="0.25">
      <c r="O507" s="111"/>
    </row>
    <row r="508" spans="15:16" x14ac:dyDescent="0.25">
      <c r="O508" s="111"/>
    </row>
    <row r="509" spans="15:16" x14ac:dyDescent="0.25">
      <c r="O509" s="111"/>
    </row>
    <row r="510" spans="15:16" x14ac:dyDescent="0.25">
      <c r="O510" s="111"/>
    </row>
    <row r="511" spans="15:16" x14ac:dyDescent="0.25">
      <c r="O511" s="111"/>
    </row>
    <row r="512" spans="15:16" x14ac:dyDescent="0.25">
      <c r="O512" s="111"/>
    </row>
    <row r="513" spans="15:15" x14ac:dyDescent="0.25">
      <c r="O513" s="111"/>
    </row>
    <row r="514" spans="15:15" x14ac:dyDescent="0.25">
      <c r="O514" s="111"/>
    </row>
    <row r="515" spans="15:15" x14ac:dyDescent="0.25">
      <c r="O515" s="111"/>
    </row>
    <row r="516" spans="15:15" x14ac:dyDescent="0.25">
      <c r="O516" s="111"/>
    </row>
    <row r="517" spans="15:15" x14ac:dyDescent="0.25">
      <c r="O517" s="111"/>
    </row>
    <row r="518" spans="15:15" x14ac:dyDescent="0.25">
      <c r="O518" s="111"/>
    </row>
    <row r="519" spans="15:15" x14ac:dyDescent="0.25">
      <c r="O519" s="111"/>
    </row>
    <row r="520" spans="15:15" x14ac:dyDescent="0.25">
      <c r="O520" s="111"/>
    </row>
    <row r="521" spans="15:15" x14ac:dyDescent="0.25">
      <c r="O521" s="111"/>
    </row>
    <row r="522" spans="15:15" x14ac:dyDescent="0.25">
      <c r="O522" s="111"/>
    </row>
    <row r="523" spans="15:15" x14ac:dyDescent="0.25">
      <c r="O523" s="111"/>
    </row>
    <row r="524" spans="15:15" x14ac:dyDescent="0.25">
      <c r="O524" s="111"/>
    </row>
    <row r="525" spans="15:15" x14ac:dyDescent="0.25">
      <c r="O525" s="111"/>
    </row>
    <row r="526" spans="15:15" x14ac:dyDescent="0.25">
      <c r="O526" s="111"/>
    </row>
    <row r="527" spans="15:15" x14ac:dyDescent="0.25">
      <c r="O527" s="111"/>
    </row>
    <row r="528" spans="15:15" x14ac:dyDescent="0.25">
      <c r="O528" s="111"/>
    </row>
    <row r="529" spans="15:15" x14ac:dyDescent="0.25">
      <c r="O529" s="111"/>
    </row>
    <row r="530" spans="15:15" x14ac:dyDescent="0.25">
      <c r="O530" s="111"/>
    </row>
    <row r="531" spans="15:15" x14ac:dyDescent="0.25">
      <c r="O531" s="111"/>
    </row>
    <row r="532" spans="15:15" x14ac:dyDescent="0.25">
      <c r="O532" s="111"/>
    </row>
    <row r="533" spans="15:15" x14ac:dyDescent="0.25">
      <c r="O533" s="111"/>
    </row>
    <row r="534" spans="15:15" x14ac:dyDescent="0.25">
      <c r="O534" s="111"/>
    </row>
    <row r="535" spans="15:15" x14ac:dyDescent="0.25">
      <c r="O535" s="111"/>
    </row>
    <row r="536" spans="15:15" x14ac:dyDescent="0.25">
      <c r="O536" s="111"/>
    </row>
    <row r="537" spans="15:15" x14ac:dyDescent="0.25">
      <c r="O537" s="111"/>
    </row>
    <row r="538" spans="15:15" x14ac:dyDescent="0.25">
      <c r="O538" s="111"/>
    </row>
    <row r="539" spans="15:15" x14ac:dyDescent="0.25">
      <c r="O539" s="111"/>
    </row>
    <row r="540" spans="15:15" x14ac:dyDescent="0.25">
      <c r="O540" s="111"/>
    </row>
    <row r="541" spans="15:15" x14ac:dyDescent="0.25">
      <c r="O541" s="111"/>
    </row>
    <row r="542" spans="15:15" x14ac:dyDescent="0.25">
      <c r="O542" s="111"/>
    </row>
    <row r="543" spans="15:15" x14ac:dyDescent="0.25">
      <c r="O543" s="111"/>
    </row>
    <row r="544" spans="15:15" x14ac:dyDescent="0.25">
      <c r="O544" s="111"/>
    </row>
    <row r="545" spans="15:15" x14ac:dyDescent="0.25">
      <c r="O545" s="111"/>
    </row>
    <row r="546" spans="15:15" x14ac:dyDescent="0.25">
      <c r="O546" s="111"/>
    </row>
    <row r="547" spans="15:15" x14ac:dyDescent="0.25">
      <c r="O547" s="111"/>
    </row>
    <row r="548" spans="15:15" x14ac:dyDescent="0.25">
      <c r="O548" s="111"/>
    </row>
    <row r="549" spans="15:15" x14ac:dyDescent="0.25">
      <c r="O549" s="111"/>
    </row>
    <row r="550" spans="15:15" x14ac:dyDescent="0.25">
      <c r="O550" s="111"/>
    </row>
    <row r="551" spans="15:15" x14ac:dyDescent="0.25">
      <c r="O551" s="111"/>
    </row>
    <row r="552" spans="15:15" x14ac:dyDescent="0.25">
      <c r="O552" s="111"/>
    </row>
    <row r="553" spans="15:15" x14ac:dyDescent="0.25">
      <c r="O553" s="111"/>
    </row>
    <row r="554" spans="15:15" x14ac:dyDescent="0.25">
      <c r="O554" s="111"/>
    </row>
    <row r="555" spans="15:15" x14ac:dyDescent="0.25">
      <c r="O555" s="111"/>
    </row>
    <row r="556" spans="15:15" x14ac:dyDescent="0.25">
      <c r="O556" s="111"/>
    </row>
    <row r="557" spans="15:15" x14ac:dyDescent="0.25">
      <c r="O557" s="111"/>
    </row>
    <row r="558" spans="15:15" x14ac:dyDescent="0.25">
      <c r="O558" s="111"/>
    </row>
    <row r="559" spans="15:15" x14ac:dyDescent="0.25">
      <c r="O559" s="111"/>
    </row>
    <row r="560" spans="15:15" x14ac:dyDescent="0.25">
      <c r="O560" s="111"/>
    </row>
    <row r="561" spans="15:15" x14ac:dyDescent="0.25">
      <c r="O561" s="111"/>
    </row>
    <row r="562" spans="15:15" x14ac:dyDescent="0.25">
      <c r="O562" s="111"/>
    </row>
    <row r="563" spans="15:15" x14ac:dyDescent="0.25">
      <c r="O563" s="111"/>
    </row>
    <row r="564" spans="15:15" x14ac:dyDescent="0.25">
      <c r="O564" s="111"/>
    </row>
    <row r="565" spans="15:15" x14ac:dyDescent="0.25">
      <c r="O565" s="111"/>
    </row>
    <row r="566" spans="15:15" x14ac:dyDescent="0.25">
      <c r="O566" s="111"/>
    </row>
    <row r="567" spans="15:15" x14ac:dyDescent="0.25">
      <c r="O567" s="111"/>
    </row>
    <row r="568" spans="15:15" x14ac:dyDescent="0.25">
      <c r="O568" s="111"/>
    </row>
    <row r="569" spans="15:15" x14ac:dyDescent="0.25">
      <c r="O569" s="111"/>
    </row>
    <row r="570" spans="15:15" x14ac:dyDescent="0.25">
      <c r="O570" s="111"/>
    </row>
    <row r="571" spans="15:15" x14ac:dyDescent="0.25">
      <c r="O571" s="111"/>
    </row>
    <row r="572" spans="15:15" x14ac:dyDescent="0.25">
      <c r="O572" s="111"/>
    </row>
    <row r="573" spans="15:15" x14ac:dyDescent="0.25">
      <c r="O573" s="111"/>
    </row>
    <row r="574" spans="15:15" x14ac:dyDescent="0.25">
      <c r="O574" s="111"/>
    </row>
    <row r="575" spans="15:15" x14ac:dyDescent="0.25">
      <c r="O575" s="111"/>
    </row>
    <row r="576" spans="15:15" x14ac:dyDescent="0.25">
      <c r="O576" s="111"/>
    </row>
    <row r="577" spans="15:15" x14ac:dyDescent="0.25">
      <c r="O577" s="111"/>
    </row>
    <row r="578" spans="15:15" x14ac:dyDescent="0.25">
      <c r="O578" s="111"/>
    </row>
    <row r="579" spans="15:15" x14ac:dyDescent="0.25">
      <c r="O579" s="111"/>
    </row>
    <row r="580" spans="15:15" x14ac:dyDescent="0.25">
      <c r="O580" s="111"/>
    </row>
    <row r="581" spans="15:15" x14ac:dyDescent="0.25">
      <c r="O581" s="111"/>
    </row>
    <row r="582" spans="15:15" x14ac:dyDescent="0.25">
      <c r="O582" s="111"/>
    </row>
    <row r="583" spans="15:15" x14ac:dyDescent="0.25">
      <c r="O583" s="111"/>
    </row>
    <row r="584" spans="15:15" x14ac:dyDescent="0.25">
      <c r="O584" s="111"/>
    </row>
    <row r="585" spans="15:15" x14ac:dyDescent="0.25">
      <c r="O585" s="111"/>
    </row>
    <row r="586" spans="15:15" x14ac:dyDescent="0.25">
      <c r="O586" s="111"/>
    </row>
    <row r="587" spans="15:15" x14ac:dyDescent="0.25">
      <c r="O587" s="111"/>
    </row>
    <row r="588" spans="15:15" x14ac:dyDescent="0.25">
      <c r="O588" s="111"/>
    </row>
    <row r="589" spans="15:15" x14ac:dyDescent="0.25">
      <c r="O589" s="111"/>
    </row>
    <row r="590" spans="15:15" x14ac:dyDescent="0.25">
      <c r="O590" s="111"/>
    </row>
    <row r="591" spans="15:15" x14ac:dyDescent="0.25">
      <c r="O591" s="111"/>
    </row>
    <row r="592" spans="15:15" x14ac:dyDescent="0.25">
      <c r="O592" s="111"/>
    </row>
    <row r="593" spans="15:15" x14ac:dyDescent="0.25">
      <c r="O593" s="111"/>
    </row>
    <row r="594" spans="15:15" x14ac:dyDescent="0.25">
      <c r="O594" s="111"/>
    </row>
    <row r="595" spans="15:15" x14ac:dyDescent="0.25">
      <c r="O595" s="111"/>
    </row>
    <row r="596" spans="15:15" x14ac:dyDescent="0.25">
      <c r="O596" s="111"/>
    </row>
    <row r="597" spans="15:15" x14ac:dyDescent="0.25">
      <c r="O597" s="111"/>
    </row>
    <row r="598" spans="15:15" x14ac:dyDescent="0.25">
      <c r="O598" s="111"/>
    </row>
    <row r="599" spans="15:15" x14ac:dyDescent="0.25">
      <c r="O599" s="111"/>
    </row>
    <row r="600" spans="15:15" x14ac:dyDescent="0.25">
      <c r="O600" s="111"/>
    </row>
    <row r="601" spans="15:15" x14ac:dyDescent="0.25">
      <c r="O601" s="111"/>
    </row>
    <row r="602" spans="15:15" x14ac:dyDescent="0.25">
      <c r="O602" s="111"/>
    </row>
    <row r="603" spans="15:15" x14ac:dyDescent="0.25">
      <c r="O603" s="111"/>
    </row>
    <row r="604" spans="15:15" x14ac:dyDescent="0.25">
      <c r="O604" s="111"/>
    </row>
    <row r="605" spans="15:15" x14ac:dyDescent="0.25">
      <c r="O605" s="111"/>
    </row>
    <row r="606" spans="15:15" x14ac:dyDescent="0.25">
      <c r="O606" s="111"/>
    </row>
    <row r="607" spans="15:15" x14ac:dyDescent="0.25">
      <c r="O607" s="111"/>
    </row>
    <row r="608" spans="15:15" x14ac:dyDescent="0.25">
      <c r="O608" s="111"/>
    </row>
    <row r="609" spans="15:15" x14ac:dyDescent="0.25">
      <c r="O609" s="111"/>
    </row>
    <row r="610" spans="15:15" x14ac:dyDescent="0.25">
      <c r="O610" s="111"/>
    </row>
    <row r="611" spans="15:15" x14ac:dyDescent="0.25">
      <c r="O611" s="111"/>
    </row>
    <row r="612" spans="15:15" x14ac:dyDescent="0.25">
      <c r="O612" s="111"/>
    </row>
    <row r="613" spans="15:15" x14ac:dyDescent="0.25">
      <c r="O613" s="111"/>
    </row>
    <row r="614" spans="15:15" x14ac:dyDescent="0.25">
      <c r="O614" s="111"/>
    </row>
    <row r="615" spans="15:15" x14ac:dyDescent="0.25">
      <c r="O615" s="111"/>
    </row>
    <row r="616" spans="15:15" x14ac:dyDescent="0.25">
      <c r="O616" s="111"/>
    </row>
    <row r="617" spans="15:15" x14ac:dyDescent="0.25">
      <c r="O617" s="111"/>
    </row>
    <row r="618" spans="15:15" x14ac:dyDescent="0.25">
      <c r="O618" s="111"/>
    </row>
    <row r="619" spans="15:15" x14ac:dyDescent="0.25">
      <c r="O619" s="111"/>
    </row>
    <row r="620" spans="15:15" x14ac:dyDescent="0.25">
      <c r="O620" s="111"/>
    </row>
    <row r="621" spans="15:15" x14ac:dyDescent="0.25">
      <c r="O621" s="111"/>
    </row>
    <row r="622" spans="15:15" x14ac:dyDescent="0.25">
      <c r="O622" s="111"/>
    </row>
    <row r="623" spans="15:15" x14ac:dyDescent="0.25">
      <c r="O623" s="111"/>
    </row>
    <row r="624" spans="15:15" x14ac:dyDescent="0.25">
      <c r="O624" s="111"/>
    </row>
    <row r="625" spans="15:15" x14ac:dyDescent="0.25">
      <c r="O625" s="111"/>
    </row>
    <row r="626" spans="15:15" x14ac:dyDescent="0.25">
      <c r="O626" s="111"/>
    </row>
    <row r="627" spans="15:15" x14ac:dyDescent="0.25">
      <c r="O627" s="111"/>
    </row>
    <row r="628" spans="15:15" x14ac:dyDescent="0.25">
      <c r="O628" s="111"/>
    </row>
    <row r="629" spans="15:15" x14ac:dyDescent="0.25">
      <c r="O629" s="111"/>
    </row>
    <row r="630" spans="15:15" x14ac:dyDescent="0.25">
      <c r="O630" s="111"/>
    </row>
    <row r="631" spans="15:15" x14ac:dyDescent="0.25">
      <c r="O631" s="111"/>
    </row>
    <row r="632" spans="15:15" x14ac:dyDescent="0.25">
      <c r="O632" s="111"/>
    </row>
    <row r="633" spans="15:15" x14ac:dyDescent="0.25">
      <c r="O633" s="111"/>
    </row>
    <row r="634" spans="15:15" x14ac:dyDescent="0.25">
      <c r="O634" s="111"/>
    </row>
    <row r="635" spans="15:15" x14ac:dyDescent="0.25">
      <c r="O635" s="111"/>
    </row>
    <row r="636" spans="15:15" x14ac:dyDescent="0.25">
      <c r="O636" s="111"/>
    </row>
    <row r="637" spans="15:15" x14ac:dyDescent="0.25">
      <c r="O637" s="111"/>
    </row>
    <row r="638" spans="15:15" x14ac:dyDescent="0.25">
      <c r="O638" s="111"/>
    </row>
    <row r="639" spans="15:15" x14ac:dyDescent="0.25">
      <c r="O639" s="111"/>
    </row>
    <row r="640" spans="15:15" x14ac:dyDescent="0.25">
      <c r="O640" s="111"/>
    </row>
    <row r="641" spans="15:15" x14ac:dyDescent="0.25">
      <c r="O641" s="111"/>
    </row>
    <row r="642" spans="15:15" x14ac:dyDescent="0.25">
      <c r="O642" s="111"/>
    </row>
    <row r="643" spans="15:15" x14ac:dyDescent="0.25">
      <c r="O643" s="111"/>
    </row>
    <row r="644" spans="15:15" x14ac:dyDescent="0.25">
      <c r="O644" s="111"/>
    </row>
    <row r="645" spans="15:15" x14ac:dyDescent="0.25">
      <c r="O645" s="111"/>
    </row>
    <row r="646" spans="15:15" x14ac:dyDescent="0.25">
      <c r="O646" s="111"/>
    </row>
    <row r="647" spans="15:15" x14ac:dyDescent="0.25">
      <c r="O647" s="111"/>
    </row>
    <row r="648" spans="15:15" x14ac:dyDescent="0.25">
      <c r="O648" s="111"/>
    </row>
    <row r="649" spans="15:15" x14ac:dyDescent="0.25">
      <c r="O649" s="111"/>
    </row>
    <row r="650" spans="15:15" x14ac:dyDescent="0.25">
      <c r="O650" s="111"/>
    </row>
    <row r="651" spans="15:15" x14ac:dyDescent="0.25">
      <c r="O651" s="111"/>
    </row>
    <row r="652" spans="15:15" x14ac:dyDescent="0.25">
      <c r="O652" s="111"/>
    </row>
    <row r="653" spans="15:15" x14ac:dyDescent="0.25">
      <c r="O653" s="111"/>
    </row>
    <row r="654" spans="15:15" x14ac:dyDescent="0.25">
      <c r="O654" s="111"/>
    </row>
    <row r="655" spans="15:15" x14ac:dyDescent="0.25">
      <c r="O655" s="111"/>
    </row>
    <row r="656" spans="15:15" x14ac:dyDescent="0.25">
      <c r="O656" s="111"/>
    </row>
    <row r="657" spans="15:15" x14ac:dyDescent="0.25">
      <c r="O657" s="111"/>
    </row>
    <row r="658" spans="15:15" x14ac:dyDescent="0.25">
      <c r="O658" s="111"/>
    </row>
    <row r="659" spans="15:15" x14ac:dyDescent="0.25">
      <c r="O659" s="111"/>
    </row>
    <row r="660" spans="15:15" x14ac:dyDescent="0.25">
      <c r="O660" s="111"/>
    </row>
    <row r="661" spans="15:15" x14ac:dyDescent="0.25">
      <c r="O661" s="111"/>
    </row>
    <row r="662" spans="15:15" x14ac:dyDescent="0.25">
      <c r="O662" s="111"/>
    </row>
    <row r="663" spans="15:15" x14ac:dyDescent="0.25">
      <c r="O663" s="111"/>
    </row>
    <row r="664" spans="15:15" x14ac:dyDescent="0.25">
      <c r="O664" s="111"/>
    </row>
    <row r="665" spans="15:15" x14ac:dyDescent="0.25">
      <c r="O665" s="111"/>
    </row>
    <row r="666" spans="15:15" x14ac:dyDescent="0.25">
      <c r="O666" s="111"/>
    </row>
    <row r="667" spans="15:15" x14ac:dyDescent="0.25">
      <c r="O667" s="111"/>
    </row>
    <row r="668" spans="15:15" x14ac:dyDescent="0.25">
      <c r="O668" s="111"/>
    </row>
    <row r="669" spans="15:15" x14ac:dyDescent="0.25">
      <c r="O669" s="111"/>
    </row>
    <row r="670" spans="15:15" x14ac:dyDescent="0.25">
      <c r="O670" s="111"/>
    </row>
    <row r="671" spans="15:15" x14ac:dyDescent="0.25">
      <c r="O671" s="111"/>
    </row>
    <row r="672" spans="15:15" x14ac:dyDescent="0.25">
      <c r="O672" s="111"/>
    </row>
    <row r="673" spans="15:15" x14ac:dyDescent="0.25">
      <c r="O673" s="111"/>
    </row>
    <row r="674" spans="15:15" x14ac:dyDescent="0.25">
      <c r="O674" s="111"/>
    </row>
    <row r="675" spans="15:15" x14ac:dyDescent="0.25">
      <c r="O675" s="111"/>
    </row>
    <row r="676" spans="15:15" x14ac:dyDescent="0.25">
      <c r="O676" s="111"/>
    </row>
    <row r="677" spans="15:15" x14ac:dyDescent="0.25">
      <c r="O677" s="111"/>
    </row>
    <row r="678" spans="15:15" x14ac:dyDescent="0.25">
      <c r="O678" s="111"/>
    </row>
    <row r="679" spans="15:15" x14ac:dyDescent="0.25">
      <c r="O679" s="111"/>
    </row>
    <row r="680" spans="15:15" x14ac:dyDescent="0.25">
      <c r="O680" s="111"/>
    </row>
    <row r="681" spans="15:15" x14ac:dyDescent="0.25">
      <c r="O681" s="111"/>
    </row>
    <row r="682" spans="15:15" x14ac:dyDescent="0.25">
      <c r="O682" s="111"/>
    </row>
    <row r="683" spans="15:15" x14ac:dyDescent="0.25">
      <c r="O683" s="111"/>
    </row>
    <row r="684" spans="15:15" x14ac:dyDescent="0.25">
      <c r="O684" s="111"/>
    </row>
    <row r="685" spans="15:15" x14ac:dyDescent="0.25">
      <c r="O685" s="111"/>
    </row>
    <row r="686" spans="15:15" x14ac:dyDescent="0.25">
      <c r="O686" s="111"/>
    </row>
    <row r="687" spans="15:15" x14ac:dyDescent="0.25">
      <c r="O687" s="111"/>
    </row>
    <row r="688" spans="15:15" x14ac:dyDescent="0.25">
      <c r="O688" s="111"/>
    </row>
    <row r="689" spans="15:15" x14ac:dyDescent="0.25">
      <c r="O689" s="111"/>
    </row>
    <row r="690" spans="15:15" x14ac:dyDescent="0.25">
      <c r="O690" s="111"/>
    </row>
    <row r="691" spans="15:15" x14ac:dyDescent="0.25">
      <c r="O691" s="111"/>
    </row>
    <row r="692" spans="15:15" x14ac:dyDescent="0.25">
      <c r="O692" s="111"/>
    </row>
    <row r="693" spans="15:15" x14ac:dyDescent="0.25">
      <c r="O693" s="111"/>
    </row>
    <row r="694" spans="15:15" x14ac:dyDescent="0.25">
      <c r="O694" s="111"/>
    </row>
    <row r="695" spans="15:15" x14ac:dyDescent="0.25">
      <c r="O695" s="111"/>
    </row>
    <row r="696" spans="15:15" x14ac:dyDescent="0.25">
      <c r="O696" s="111"/>
    </row>
    <row r="697" spans="15:15" x14ac:dyDescent="0.25">
      <c r="O697" s="111"/>
    </row>
    <row r="698" spans="15:15" x14ac:dyDescent="0.25">
      <c r="O698" s="111"/>
    </row>
    <row r="699" spans="15:15" x14ac:dyDescent="0.25">
      <c r="O699" s="111"/>
    </row>
    <row r="700" spans="15:15" x14ac:dyDescent="0.25">
      <c r="O700" s="111"/>
    </row>
    <row r="701" spans="15:15" x14ac:dyDescent="0.25">
      <c r="O701" s="111"/>
    </row>
    <row r="702" spans="15:15" x14ac:dyDescent="0.25">
      <c r="O702" s="111"/>
    </row>
    <row r="703" spans="15:15" x14ac:dyDescent="0.25">
      <c r="O703" s="111"/>
    </row>
    <row r="704" spans="15:15" x14ac:dyDescent="0.25">
      <c r="O704" s="111"/>
    </row>
    <row r="705" spans="15:15" x14ac:dyDescent="0.25">
      <c r="O705" s="111"/>
    </row>
    <row r="706" spans="15:15" x14ac:dyDescent="0.25">
      <c r="O706" s="111"/>
    </row>
    <row r="707" spans="15:15" x14ac:dyDescent="0.25">
      <c r="O707" s="111"/>
    </row>
    <row r="708" spans="15:15" x14ac:dyDescent="0.25">
      <c r="O708" s="111"/>
    </row>
    <row r="709" spans="15:15" x14ac:dyDescent="0.25">
      <c r="O709" s="111"/>
    </row>
    <row r="710" spans="15:15" x14ac:dyDescent="0.25">
      <c r="O710" s="111"/>
    </row>
    <row r="711" spans="15:15" x14ac:dyDescent="0.25">
      <c r="O711" s="111"/>
    </row>
    <row r="712" spans="15:15" x14ac:dyDescent="0.25">
      <c r="O712" s="111"/>
    </row>
    <row r="713" spans="15:15" x14ac:dyDescent="0.25">
      <c r="O713" s="111"/>
    </row>
    <row r="714" spans="15:15" x14ac:dyDescent="0.25">
      <c r="O714" s="111"/>
    </row>
    <row r="715" spans="15:15" x14ac:dyDescent="0.25">
      <c r="O715" s="111"/>
    </row>
    <row r="716" spans="15:15" x14ac:dyDescent="0.25">
      <c r="O716" s="111"/>
    </row>
    <row r="717" spans="15:15" x14ac:dyDescent="0.25">
      <c r="O717" s="111"/>
    </row>
    <row r="718" spans="15:15" x14ac:dyDescent="0.25">
      <c r="O718" s="111"/>
    </row>
    <row r="719" spans="15:15" x14ac:dyDescent="0.25">
      <c r="O719" s="111"/>
    </row>
    <row r="720" spans="15:15" x14ac:dyDescent="0.25">
      <c r="O720" s="111"/>
    </row>
    <row r="721" spans="15:15" x14ac:dyDescent="0.25">
      <c r="O721" s="111"/>
    </row>
    <row r="722" spans="15:15" x14ac:dyDescent="0.25">
      <c r="O722" s="111"/>
    </row>
    <row r="723" spans="15:15" x14ac:dyDescent="0.25">
      <c r="O723" s="111"/>
    </row>
    <row r="724" spans="15:15" x14ac:dyDescent="0.25">
      <c r="O724" s="111"/>
    </row>
    <row r="725" spans="15:15" x14ac:dyDescent="0.25">
      <c r="O725" s="111"/>
    </row>
    <row r="726" spans="15:15" x14ac:dyDescent="0.25">
      <c r="O726" s="111"/>
    </row>
    <row r="727" spans="15:15" x14ac:dyDescent="0.25">
      <c r="O727" s="111"/>
    </row>
    <row r="728" spans="15:15" x14ac:dyDescent="0.25">
      <c r="O728" s="111"/>
    </row>
    <row r="729" spans="15:15" x14ac:dyDescent="0.25">
      <c r="O729" s="111"/>
    </row>
    <row r="730" spans="15:15" x14ac:dyDescent="0.25">
      <c r="O730" s="111"/>
    </row>
    <row r="731" spans="15:15" x14ac:dyDescent="0.25">
      <c r="O731" s="111"/>
    </row>
    <row r="732" spans="15:15" x14ac:dyDescent="0.25">
      <c r="O732" s="111"/>
    </row>
    <row r="733" spans="15:15" x14ac:dyDescent="0.25">
      <c r="O733" s="111"/>
    </row>
    <row r="734" spans="15:15" x14ac:dyDescent="0.25">
      <c r="O734" s="111"/>
    </row>
    <row r="735" spans="15:15" x14ac:dyDescent="0.25">
      <c r="O735" s="111"/>
    </row>
    <row r="736" spans="15:15" x14ac:dyDescent="0.25">
      <c r="O736" s="111"/>
    </row>
    <row r="737" spans="15:15" x14ac:dyDescent="0.25">
      <c r="O737" s="111"/>
    </row>
    <row r="738" spans="15:15" x14ac:dyDescent="0.25">
      <c r="O738" s="111"/>
    </row>
    <row r="739" spans="15:15" x14ac:dyDescent="0.25">
      <c r="O739" s="111"/>
    </row>
    <row r="740" spans="15:15" x14ac:dyDescent="0.25">
      <c r="O740" s="111"/>
    </row>
    <row r="741" spans="15:15" x14ac:dyDescent="0.25">
      <c r="O741" s="111"/>
    </row>
    <row r="742" spans="15:15" x14ac:dyDescent="0.25">
      <c r="O742" s="111"/>
    </row>
    <row r="743" spans="15:15" x14ac:dyDescent="0.25">
      <c r="O743" s="111"/>
    </row>
    <row r="744" spans="15:15" x14ac:dyDescent="0.25">
      <c r="O744" s="111"/>
    </row>
    <row r="745" spans="15:15" x14ac:dyDescent="0.25">
      <c r="O745" s="111"/>
    </row>
    <row r="746" spans="15:15" x14ac:dyDescent="0.25">
      <c r="O746" s="111"/>
    </row>
    <row r="747" spans="15:15" x14ac:dyDescent="0.25">
      <c r="O747" s="111"/>
    </row>
    <row r="748" spans="15:15" x14ac:dyDescent="0.25">
      <c r="O748" s="111"/>
    </row>
    <row r="749" spans="15:15" x14ac:dyDescent="0.25">
      <c r="O749" s="111"/>
    </row>
    <row r="750" spans="15:15" x14ac:dyDescent="0.25">
      <c r="O750" s="111"/>
    </row>
    <row r="751" spans="15:15" x14ac:dyDescent="0.25">
      <c r="O751" s="111"/>
    </row>
    <row r="752" spans="15:15" x14ac:dyDescent="0.25">
      <c r="O752" s="111"/>
    </row>
    <row r="753" spans="15:15" x14ac:dyDescent="0.25">
      <c r="O753" s="111"/>
    </row>
    <row r="754" spans="15:15" x14ac:dyDescent="0.25">
      <c r="O754" s="111"/>
    </row>
    <row r="755" spans="15:15" x14ac:dyDescent="0.25">
      <c r="O755" s="111"/>
    </row>
    <row r="756" spans="15:15" x14ac:dyDescent="0.25">
      <c r="O756" s="111"/>
    </row>
    <row r="757" spans="15:15" x14ac:dyDescent="0.25">
      <c r="O757" s="111"/>
    </row>
    <row r="758" spans="15:15" x14ac:dyDescent="0.25">
      <c r="O758" s="111"/>
    </row>
    <row r="759" spans="15:15" x14ac:dyDescent="0.25">
      <c r="O759" s="111"/>
    </row>
    <row r="760" spans="15:15" x14ac:dyDescent="0.25">
      <c r="O760" s="111"/>
    </row>
    <row r="761" spans="15:15" x14ac:dyDescent="0.25">
      <c r="O761" s="111"/>
    </row>
    <row r="762" spans="15:15" x14ac:dyDescent="0.25">
      <c r="O762" s="111"/>
    </row>
    <row r="763" spans="15:15" x14ac:dyDescent="0.25">
      <c r="O763" s="111"/>
    </row>
    <row r="764" spans="15:15" x14ac:dyDescent="0.25">
      <c r="O764" s="111"/>
    </row>
    <row r="765" spans="15:15" x14ac:dyDescent="0.25">
      <c r="O765" s="111"/>
    </row>
    <row r="766" spans="15:15" x14ac:dyDescent="0.25">
      <c r="O766" s="111"/>
    </row>
    <row r="767" spans="15:15" x14ac:dyDescent="0.25">
      <c r="O767" s="111"/>
    </row>
    <row r="768" spans="15:15" x14ac:dyDescent="0.25">
      <c r="O768" s="111"/>
    </row>
    <row r="769" spans="15:15" x14ac:dyDescent="0.25">
      <c r="O769" s="111"/>
    </row>
    <row r="770" spans="15:15" x14ac:dyDescent="0.25">
      <c r="O770" s="111"/>
    </row>
    <row r="771" spans="15:15" x14ac:dyDescent="0.25">
      <c r="O771" s="111"/>
    </row>
    <row r="772" spans="15:15" x14ac:dyDescent="0.25">
      <c r="O772" s="111"/>
    </row>
    <row r="773" spans="15:15" x14ac:dyDescent="0.25">
      <c r="O773" s="111"/>
    </row>
    <row r="774" spans="15:15" x14ac:dyDescent="0.25">
      <c r="O774" s="111"/>
    </row>
    <row r="775" spans="15:15" x14ac:dyDescent="0.25">
      <c r="O775" s="111"/>
    </row>
    <row r="776" spans="15:15" x14ac:dyDescent="0.25">
      <c r="O776" s="111"/>
    </row>
    <row r="777" spans="15:15" x14ac:dyDescent="0.25">
      <c r="O777" s="111"/>
    </row>
    <row r="778" spans="15:15" x14ac:dyDescent="0.25">
      <c r="O778" s="111"/>
    </row>
    <row r="779" spans="15:15" x14ac:dyDescent="0.25">
      <c r="O779" s="111"/>
    </row>
    <row r="780" spans="15:15" x14ac:dyDescent="0.25">
      <c r="O780" s="111"/>
    </row>
    <row r="781" spans="15:15" x14ac:dyDescent="0.25">
      <c r="O781" s="111"/>
    </row>
    <row r="782" spans="15:15" x14ac:dyDescent="0.25">
      <c r="O782" s="111"/>
    </row>
    <row r="783" spans="15:15" x14ac:dyDescent="0.25">
      <c r="O783" s="111"/>
    </row>
    <row r="784" spans="15:15" x14ac:dyDescent="0.25">
      <c r="O784" s="111"/>
    </row>
    <row r="785" spans="15:15" x14ac:dyDescent="0.25">
      <c r="O785" s="111"/>
    </row>
    <row r="786" spans="15:15" x14ac:dyDescent="0.25">
      <c r="O786" s="111"/>
    </row>
    <row r="787" spans="15:15" x14ac:dyDescent="0.25">
      <c r="O787" s="111"/>
    </row>
    <row r="788" spans="15:15" x14ac:dyDescent="0.25">
      <c r="O788" s="111"/>
    </row>
    <row r="789" spans="15:15" x14ac:dyDescent="0.25">
      <c r="O789" s="111"/>
    </row>
    <row r="790" spans="15:15" x14ac:dyDescent="0.25">
      <c r="O790" s="111"/>
    </row>
    <row r="791" spans="15:15" x14ac:dyDescent="0.25">
      <c r="O791" s="111"/>
    </row>
    <row r="792" spans="15:15" x14ac:dyDescent="0.25">
      <c r="O792" s="111"/>
    </row>
    <row r="793" spans="15:15" x14ac:dyDescent="0.25">
      <c r="O793" s="111"/>
    </row>
    <row r="794" spans="15:15" x14ac:dyDescent="0.25">
      <c r="O794" s="111"/>
    </row>
    <row r="795" spans="15:15" x14ac:dyDescent="0.25">
      <c r="O795" s="111"/>
    </row>
    <row r="796" spans="15:15" x14ac:dyDescent="0.25">
      <c r="O796" s="111"/>
    </row>
    <row r="797" spans="15:15" x14ac:dyDescent="0.25">
      <c r="O797" s="111"/>
    </row>
    <row r="798" spans="15:15" x14ac:dyDescent="0.25">
      <c r="O798" s="111"/>
    </row>
    <row r="799" spans="15:15" x14ac:dyDescent="0.25">
      <c r="O799" s="111"/>
    </row>
    <row r="800" spans="15:15" x14ac:dyDescent="0.25">
      <c r="O800" s="111"/>
    </row>
    <row r="801" spans="15:15" x14ac:dyDescent="0.25">
      <c r="O801" s="111"/>
    </row>
    <row r="802" spans="15:15" x14ac:dyDescent="0.25">
      <c r="O802" s="111"/>
    </row>
    <row r="803" spans="15:15" x14ac:dyDescent="0.25">
      <c r="O803" s="111"/>
    </row>
    <row r="804" spans="15:15" x14ac:dyDescent="0.25">
      <c r="O804" s="111"/>
    </row>
    <row r="805" spans="15:15" x14ac:dyDescent="0.25">
      <c r="O805" s="111"/>
    </row>
    <row r="806" spans="15:15" x14ac:dyDescent="0.25">
      <c r="O806" s="111"/>
    </row>
    <row r="807" spans="15:15" x14ac:dyDescent="0.25">
      <c r="O807" s="111"/>
    </row>
    <row r="808" spans="15:15" x14ac:dyDescent="0.25">
      <c r="O808" s="111"/>
    </row>
    <row r="809" spans="15:15" x14ac:dyDescent="0.25">
      <c r="O809" s="111"/>
    </row>
    <row r="810" spans="15:15" x14ac:dyDescent="0.25">
      <c r="O810" s="111"/>
    </row>
    <row r="811" spans="15:15" x14ac:dyDescent="0.25">
      <c r="O811" s="111"/>
    </row>
    <row r="812" spans="15:15" x14ac:dyDescent="0.25">
      <c r="O812" s="111"/>
    </row>
    <row r="813" spans="15:15" x14ac:dyDescent="0.25">
      <c r="O813" s="111"/>
    </row>
    <row r="814" spans="15:15" x14ac:dyDescent="0.25">
      <c r="O814" s="111"/>
    </row>
    <row r="815" spans="15:15" x14ac:dyDescent="0.25">
      <c r="O815" s="111"/>
    </row>
    <row r="816" spans="15:15" x14ac:dyDescent="0.25">
      <c r="O816" s="111"/>
    </row>
    <row r="817" spans="15:15" x14ac:dyDescent="0.25">
      <c r="O817" s="111"/>
    </row>
    <row r="818" spans="15:15" x14ac:dyDescent="0.25">
      <c r="O818" s="111"/>
    </row>
    <row r="819" spans="15:15" x14ac:dyDescent="0.25">
      <c r="O819" s="111"/>
    </row>
    <row r="820" spans="15:15" x14ac:dyDescent="0.25">
      <c r="O820" s="111"/>
    </row>
    <row r="821" spans="15:15" x14ac:dyDescent="0.25">
      <c r="O821" s="111"/>
    </row>
    <row r="822" spans="15:15" x14ac:dyDescent="0.25">
      <c r="O822" s="111"/>
    </row>
    <row r="823" spans="15:15" x14ac:dyDescent="0.25">
      <c r="O823" s="111"/>
    </row>
    <row r="824" spans="15:15" x14ac:dyDescent="0.25">
      <c r="O824" s="111"/>
    </row>
    <row r="825" spans="15:15" x14ac:dyDescent="0.25">
      <c r="O825" s="111"/>
    </row>
    <row r="826" spans="15:15" x14ac:dyDescent="0.25">
      <c r="O826" s="111"/>
    </row>
    <row r="827" spans="15:15" x14ac:dyDescent="0.25">
      <c r="O827" s="111"/>
    </row>
    <row r="828" spans="15:15" x14ac:dyDescent="0.25">
      <c r="O828" s="111"/>
    </row>
    <row r="829" spans="15:15" x14ac:dyDescent="0.25">
      <c r="O829" s="111"/>
    </row>
    <row r="830" spans="15:15" x14ac:dyDescent="0.25">
      <c r="O830" s="111"/>
    </row>
    <row r="831" spans="15:15" x14ac:dyDescent="0.25">
      <c r="O831" s="111"/>
    </row>
    <row r="832" spans="15:15" x14ac:dyDescent="0.25">
      <c r="O832" s="111"/>
    </row>
    <row r="833" spans="15:15" x14ac:dyDescent="0.25">
      <c r="O833" s="111"/>
    </row>
    <row r="834" spans="15:15" x14ac:dyDescent="0.25">
      <c r="O834" s="111"/>
    </row>
    <row r="835" spans="15:15" x14ac:dyDescent="0.25">
      <c r="O835" s="111"/>
    </row>
    <row r="836" spans="15:15" x14ac:dyDescent="0.25">
      <c r="O836" s="111"/>
    </row>
    <row r="837" spans="15:15" x14ac:dyDescent="0.25">
      <c r="O837" s="111"/>
    </row>
    <row r="838" spans="15:15" x14ac:dyDescent="0.25">
      <c r="O838" s="111"/>
    </row>
    <row r="839" spans="15:15" x14ac:dyDescent="0.25">
      <c r="O839" s="111"/>
    </row>
    <row r="840" spans="15:15" x14ac:dyDescent="0.25">
      <c r="O840" s="111"/>
    </row>
    <row r="841" spans="15:15" x14ac:dyDescent="0.25">
      <c r="O841" s="111"/>
    </row>
    <row r="842" spans="15:15" x14ac:dyDescent="0.25">
      <c r="O842" s="111"/>
    </row>
    <row r="843" spans="15:15" x14ac:dyDescent="0.25">
      <c r="O843" s="111"/>
    </row>
    <row r="844" spans="15:15" x14ac:dyDescent="0.25">
      <c r="O844" s="111"/>
    </row>
    <row r="845" spans="15:15" x14ac:dyDescent="0.25">
      <c r="O845" s="111"/>
    </row>
    <row r="846" spans="15:15" x14ac:dyDescent="0.25">
      <c r="O846" s="111"/>
    </row>
    <row r="847" spans="15:15" x14ac:dyDescent="0.25">
      <c r="O847" s="111"/>
    </row>
    <row r="848" spans="15:15" x14ac:dyDescent="0.25">
      <c r="O848" s="111"/>
    </row>
    <row r="849" spans="15:15" x14ac:dyDescent="0.25">
      <c r="O849" s="111"/>
    </row>
    <row r="850" spans="15:15" x14ac:dyDescent="0.25">
      <c r="O850" s="111"/>
    </row>
    <row r="851" spans="15:15" x14ac:dyDescent="0.25">
      <c r="O851" s="111"/>
    </row>
    <row r="852" spans="15:15" x14ac:dyDescent="0.25">
      <c r="O852" s="111"/>
    </row>
    <row r="853" spans="15:15" x14ac:dyDescent="0.25">
      <c r="O853" s="111"/>
    </row>
    <row r="854" spans="15:15" x14ac:dyDescent="0.25">
      <c r="O854" s="111"/>
    </row>
    <row r="855" spans="15:15" x14ac:dyDescent="0.25">
      <c r="O855" s="111"/>
    </row>
    <row r="856" spans="15:15" x14ac:dyDescent="0.25">
      <c r="O856" s="111"/>
    </row>
    <row r="857" spans="15:15" x14ac:dyDescent="0.25">
      <c r="O857" s="111"/>
    </row>
    <row r="858" spans="15:15" x14ac:dyDescent="0.25">
      <c r="O858" s="111"/>
    </row>
    <row r="859" spans="15:15" x14ac:dyDescent="0.25">
      <c r="O859" s="111"/>
    </row>
    <row r="860" spans="15:15" x14ac:dyDescent="0.25">
      <c r="O860" s="111"/>
    </row>
    <row r="861" spans="15:15" x14ac:dyDescent="0.25">
      <c r="O861" s="111"/>
    </row>
    <row r="862" spans="15:15" x14ac:dyDescent="0.25">
      <c r="O862" s="111"/>
    </row>
    <row r="863" spans="15:15" x14ac:dyDescent="0.25">
      <c r="O863" s="111"/>
    </row>
    <row r="864" spans="15:15" x14ac:dyDescent="0.25">
      <c r="O864" s="111"/>
    </row>
    <row r="865" spans="15:15" x14ac:dyDescent="0.25">
      <c r="O865" s="111"/>
    </row>
    <row r="866" spans="15:15" x14ac:dyDescent="0.25">
      <c r="O866" s="111"/>
    </row>
    <row r="867" spans="15:15" x14ac:dyDescent="0.25">
      <c r="O867" s="111"/>
    </row>
    <row r="868" spans="15:15" x14ac:dyDescent="0.25">
      <c r="O868" s="111"/>
    </row>
    <row r="869" spans="15:15" x14ac:dyDescent="0.25">
      <c r="O869" s="111"/>
    </row>
    <row r="870" spans="15:15" x14ac:dyDescent="0.25">
      <c r="O870" s="111"/>
    </row>
    <row r="871" spans="15:15" x14ac:dyDescent="0.25">
      <c r="O871" s="111"/>
    </row>
    <row r="872" spans="15:15" x14ac:dyDescent="0.25">
      <c r="O872" s="111"/>
    </row>
    <row r="873" spans="15:15" x14ac:dyDescent="0.25">
      <c r="O873" s="111"/>
    </row>
    <row r="874" spans="15:15" x14ac:dyDescent="0.25">
      <c r="O874" s="111"/>
    </row>
    <row r="875" spans="15:15" x14ac:dyDescent="0.25">
      <c r="O875" s="111"/>
    </row>
    <row r="876" spans="15:15" x14ac:dyDescent="0.25">
      <c r="O876" s="111"/>
    </row>
    <row r="877" spans="15:15" x14ac:dyDescent="0.25">
      <c r="O877" s="111"/>
    </row>
    <row r="878" spans="15:15" x14ac:dyDescent="0.25">
      <c r="O878" s="111"/>
    </row>
    <row r="879" spans="15:15" x14ac:dyDescent="0.25">
      <c r="O879" s="111"/>
    </row>
    <row r="880" spans="15:15" x14ac:dyDescent="0.25">
      <c r="O880" s="111"/>
    </row>
    <row r="881" spans="15:15" x14ac:dyDescent="0.25">
      <c r="O881" s="111"/>
    </row>
    <row r="882" spans="15:15" x14ac:dyDescent="0.25">
      <c r="O882" s="111"/>
    </row>
    <row r="883" spans="15:15" x14ac:dyDescent="0.25">
      <c r="O883" s="111"/>
    </row>
    <row r="884" spans="15:15" x14ac:dyDescent="0.25">
      <c r="O884" s="111"/>
    </row>
    <row r="885" spans="15:15" x14ac:dyDescent="0.25">
      <c r="O885" s="111"/>
    </row>
    <row r="886" spans="15:15" x14ac:dyDescent="0.25">
      <c r="O886" s="111"/>
    </row>
    <row r="887" spans="15:15" x14ac:dyDescent="0.25">
      <c r="O887" s="111"/>
    </row>
    <row r="888" spans="15:15" x14ac:dyDescent="0.25">
      <c r="O888" s="111"/>
    </row>
    <row r="889" spans="15:15" x14ac:dyDescent="0.25">
      <c r="O889" s="111"/>
    </row>
    <row r="890" spans="15:15" x14ac:dyDescent="0.25">
      <c r="O890" s="111"/>
    </row>
    <row r="891" spans="15:15" x14ac:dyDescent="0.25">
      <c r="O891" s="111"/>
    </row>
    <row r="892" spans="15:15" x14ac:dyDescent="0.25">
      <c r="O892" s="111"/>
    </row>
    <row r="893" spans="15:15" x14ac:dyDescent="0.25">
      <c r="O893" s="111"/>
    </row>
    <row r="894" spans="15:15" x14ac:dyDescent="0.25">
      <c r="O894" s="111"/>
    </row>
    <row r="895" spans="15:15" x14ac:dyDescent="0.25">
      <c r="O895" s="111"/>
    </row>
    <row r="896" spans="15:15" x14ac:dyDescent="0.25">
      <c r="O896" s="1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3FB66-FAF8-422A-8D6C-73AA5F810BE7}">
  <dimension ref="A1:W242"/>
  <sheetViews>
    <sheetView topLeftCell="A17" zoomScale="110" zoomScaleNormal="110" workbookViewId="0">
      <selection activeCell="A39" sqref="A39"/>
    </sheetView>
  </sheetViews>
  <sheetFormatPr defaultRowHeight="15" x14ac:dyDescent="0.25"/>
  <cols>
    <col min="1" max="1" width="11.42578125" bestFit="1" customWidth="1"/>
    <col min="2" max="2" width="22.7109375" bestFit="1" customWidth="1"/>
    <col min="3" max="3" width="9.85546875" bestFit="1" customWidth="1"/>
    <col min="4" max="4" width="10.85546875" bestFit="1" customWidth="1"/>
    <col min="5" max="10" width="9.85546875" bestFit="1" customWidth="1"/>
    <col min="11" max="11" width="10" bestFit="1" customWidth="1"/>
    <col min="12" max="12" width="10.42578125" bestFit="1" customWidth="1"/>
    <col min="13" max="13" width="15.5703125" bestFit="1" customWidth="1"/>
    <col min="14" max="14" width="14" bestFit="1" customWidth="1"/>
  </cols>
  <sheetData>
    <row r="1" spans="1:23" x14ac:dyDescent="0.25"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</row>
    <row r="2" spans="1:23" ht="15.75" thickBot="1" x14ac:dyDescent="0.3">
      <c r="C2" s="1" t="s">
        <v>0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12</v>
      </c>
      <c r="L2" s="1" t="s">
        <v>10</v>
      </c>
      <c r="N2" s="1" t="s">
        <v>24</v>
      </c>
      <c r="O2" s="1" t="s">
        <v>25</v>
      </c>
      <c r="P2" s="1" t="s">
        <v>26</v>
      </c>
    </row>
    <row r="3" spans="1:23" x14ac:dyDescent="0.25">
      <c r="B3" s="1" t="s">
        <v>13</v>
      </c>
      <c r="C3" s="20">
        <v>201</v>
      </c>
      <c r="D3" s="21">
        <v>201</v>
      </c>
      <c r="E3" s="21">
        <v>201</v>
      </c>
      <c r="F3" s="22">
        <v>201</v>
      </c>
      <c r="G3" s="20">
        <v>201</v>
      </c>
      <c r="H3" s="21">
        <v>201</v>
      </c>
      <c r="I3" s="21">
        <v>201</v>
      </c>
      <c r="J3" s="21">
        <v>201</v>
      </c>
      <c r="K3" s="21">
        <v>201</v>
      </c>
      <c r="L3" s="22">
        <v>201</v>
      </c>
    </row>
    <row r="4" spans="1:23" x14ac:dyDescent="0.25">
      <c r="B4" s="1" t="s">
        <v>1</v>
      </c>
      <c r="C4" s="66"/>
      <c r="D4" s="69"/>
      <c r="E4" s="69"/>
      <c r="F4" s="67"/>
      <c r="G4" s="66"/>
      <c r="H4" s="69"/>
      <c r="I4" s="69"/>
      <c r="J4" s="69"/>
      <c r="K4" s="69"/>
      <c r="L4" s="67"/>
      <c r="N4" s="12" t="e">
        <f>AVERAGE(C4:F4,J4)</f>
        <v>#DIV/0!</v>
      </c>
      <c r="O4" s="12" t="e">
        <f>AVERAGE(G4:I4)</f>
        <v>#DIV/0!</v>
      </c>
      <c r="P4" s="12" t="e">
        <f>AVERAGE(K4:L4)</f>
        <v>#DIV/0!</v>
      </c>
    </row>
    <row r="5" spans="1:23" x14ac:dyDescent="0.25">
      <c r="B5" s="1" t="s">
        <v>11</v>
      </c>
      <c r="C5" s="70"/>
      <c r="D5" s="71"/>
      <c r="E5" s="71"/>
      <c r="F5" s="72"/>
      <c r="G5" s="70"/>
      <c r="H5" s="71"/>
      <c r="I5" s="71"/>
      <c r="J5" s="71"/>
      <c r="K5" s="71"/>
      <c r="L5" s="72"/>
      <c r="M5" s="1" t="s">
        <v>48</v>
      </c>
      <c r="N5" s="19" t="e">
        <f>STDEV(C4:F4,J4)</f>
        <v>#DIV/0!</v>
      </c>
      <c r="O5" s="19" t="e">
        <f>STDEV(G4:I4)</f>
        <v>#DIV/0!</v>
      </c>
      <c r="P5" s="19" t="e">
        <f>STDEV(K4:L4)</f>
        <v>#DIV/0!</v>
      </c>
    </row>
    <row r="6" spans="1:23" ht="15.75" thickBot="1" x14ac:dyDescent="0.3">
      <c r="B6" s="1" t="s">
        <v>2</v>
      </c>
      <c r="C6" s="73"/>
      <c r="D6" s="74"/>
      <c r="E6" s="74"/>
      <c r="F6" s="75"/>
      <c r="G6" s="73"/>
      <c r="H6" s="74"/>
      <c r="I6" s="74"/>
      <c r="J6" s="74"/>
      <c r="K6" s="74"/>
      <c r="L6" s="75"/>
      <c r="N6" s="12" t="e">
        <f>AVERAGE(C6:F6,J6)</f>
        <v>#DIV/0!</v>
      </c>
      <c r="O6" s="12" t="e">
        <f>AVERAGE(G6:I6)</f>
        <v>#DIV/0!</v>
      </c>
      <c r="P6" s="12" t="e">
        <f>AVERAGE(K6:L6)</f>
        <v>#DIV/0!</v>
      </c>
    </row>
    <row r="7" spans="1:23" x14ac:dyDescent="0.25">
      <c r="B7" s="1" t="s">
        <v>14</v>
      </c>
      <c r="C7" s="20">
        <v>1</v>
      </c>
      <c r="D7" s="21">
        <v>100</v>
      </c>
      <c r="E7" s="21">
        <v>10</v>
      </c>
      <c r="F7" s="22">
        <v>100</v>
      </c>
      <c r="G7" s="20">
        <v>10</v>
      </c>
      <c r="H7" s="21">
        <v>10</v>
      </c>
      <c r="I7" s="21">
        <v>10</v>
      </c>
      <c r="J7" s="21">
        <v>10</v>
      </c>
      <c r="K7" s="21">
        <v>1</v>
      </c>
      <c r="L7" s="22">
        <v>1</v>
      </c>
    </row>
    <row r="8" spans="1:23" x14ac:dyDescent="0.25">
      <c r="B8" s="1" t="s">
        <v>15</v>
      </c>
      <c r="C8" s="52">
        <v>200</v>
      </c>
      <c r="D8" s="76">
        <v>4400</v>
      </c>
      <c r="E8" s="76">
        <v>200</v>
      </c>
      <c r="F8" s="54">
        <v>1200</v>
      </c>
      <c r="G8" s="52">
        <v>600</v>
      </c>
      <c r="H8" s="76">
        <v>600</v>
      </c>
      <c r="I8" s="76">
        <v>400</v>
      </c>
      <c r="J8" s="76">
        <v>200</v>
      </c>
      <c r="K8" s="76">
        <v>500</v>
      </c>
      <c r="L8" s="54">
        <v>400</v>
      </c>
    </row>
    <row r="9" spans="1:23" x14ac:dyDescent="0.25">
      <c r="B9" s="1" t="s">
        <v>16</v>
      </c>
      <c r="C9" s="52">
        <f>-C8</f>
        <v>-200</v>
      </c>
      <c r="D9" s="76">
        <f t="shared" ref="D9:L9" si="0">-D8</f>
        <v>-4400</v>
      </c>
      <c r="E9" s="76">
        <f t="shared" si="0"/>
        <v>-200</v>
      </c>
      <c r="F9" s="54">
        <f t="shared" si="0"/>
        <v>-1200</v>
      </c>
      <c r="G9" s="52">
        <f t="shared" si="0"/>
        <v>-600</v>
      </c>
      <c r="H9" s="76">
        <f t="shared" si="0"/>
        <v>-600</v>
      </c>
      <c r="I9" s="76">
        <f t="shared" si="0"/>
        <v>-400</v>
      </c>
      <c r="J9" s="76">
        <f t="shared" si="0"/>
        <v>-200</v>
      </c>
      <c r="K9" s="76">
        <f t="shared" si="0"/>
        <v>-500</v>
      </c>
      <c r="L9" s="54">
        <f t="shared" si="0"/>
        <v>-400</v>
      </c>
    </row>
    <row r="10" spans="1:23" x14ac:dyDescent="0.25">
      <c r="B10" s="1" t="s">
        <v>17</v>
      </c>
      <c r="C10" s="25">
        <v>0.35416666666666669</v>
      </c>
      <c r="D10" s="77">
        <v>0.35416666666666669</v>
      </c>
      <c r="E10" s="77">
        <v>0.35416666666666669</v>
      </c>
      <c r="F10" s="27">
        <v>0.35416666666666669</v>
      </c>
      <c r="G10" s="25">
        <v>0.33333333333333331</v>
      </c>
      <c r="H10" s="77">
        <v>0.375</v>
      </c>
      <c r="I10" s="77">
        <v>0.375</v>
      </c>
      <c r="J10" s="77">
        <v>0.39583333333333331</v>
      </c>
      <c r="K10" s="77">
        <v>0.32291666666666669</v>
      </c>
      <c r="L10" s="27">
        <v>0.38541666666666669</v>
      </c>
    </row>
    <row r="11" spans="1:23" x14ac:dyDescent="0.25">
      <c r="B11" s="1" t="s">
        <v>18</v>
      </c>
      <c r="C11" s="25">
        <v>0.63541666666666663</v>
      </c>
      <c r="D11" s="77">
        <v>0.63541666666666663</v>
      </c>
      <c r="E11" s="77">
        <v>0.63541666666666663</v>
      </c>
      <c r="F11" s="27">
        <v>0.63541666666666663</v>
      </c>
      <c r="G11" s="25">
        <v>0.6875</v>
      </c>
      <c r="H11" s="77">
        <v>0.72916666666666663</v>
      </c>
      <c r="I11" s="77">
        <v>0.72916666666666663</v>
      </c>
      <c r="J11" s="77">
        <v>0.67708333333333337</v>
      </c>
      <c r="K11" s="77">
        <v>0.60416666666666663</v>
      </c>
      <c r="L11" s="27">
        <v>0.6875</v>
      </c>
    </row>
    <row r="12" spans="1:23" x14ac:dyDescent="0.25">
      <c r="B12" s="1" t="s">
        <v>19</v>
      </c>
      <c r="C12" s="28" t="s">
        <v>20</v>
      </c>
      <c r="D12" s="78" t="s">
        <v>20</v>
      </c>
      <c r="E12" s="78" t="s">
        <v>20</v>
      </c>
      <c r="F12" s="30" t="s">
        <v>20</v>
      </c>
      <c r="G12" s="28" t="s">
        <v>21</v>
      </c>
      <c r="H12" s="78" t="s">
        <v>22</v>
      </c>
      <c r="I12" s="78" t="s">
        <v>23</v>
      </c>
      <c r="J12" s="78" t="s">
        <v>27</v>
      </c>
      <c r="K12" s="78" t="s">
        <v>28</v>
      </c>
      <c r="L12" s="30" t="s">
        <v>29</v>
      </c>
    </row>
    <row r="13" spans="1:23" x14ac:dyDescent="0.25">
      <c r="B13" s="1" t="s">
        <v>30</v>
      </c>
      <c r="C13" s="31">
        <v>1</v>
      </c>
      <c r="D13" s="79">
        <v>0.25</v>
      </c>
      <c r="E13" s="79">
        <v>0.1</v>
      </c>
      <c r="F13" s="33">
        <v>0.25</v>
      </c>
      <c r="G13" s="31">
        <v>0.5</v>
      </c>
      <c r="H13" s="79">
        <v>0.5</v>
      </c>
      <c r="I13" s="79">
        <v>0.5</v>
      </c>
      <c r="J13" s="79">
        <v>0.1</v>
      </c>
      <c r="K13" s="79">
        <v>5</v>
      </c>
      <c r="L13" s="33">
        <v>1</v>
      </c>
    </row>
    <row r="14" spans="1:23" x14ac:dyDescent="0.25">
      <c r="B14" s="1" t="s">
        <v>35</v>
      </c>
      <c r="C14" s="34">
        <f>(C8-C9)/C13/C7</f>
        <v>400</v>
      </c>
      <c r="D14" s="80">
        <f t="shared" ref="D14:L14" si="1">(D8-D9)/D13/D7</f>
        <v>352</v>
      </c>
      <c r="E14" s="80">
        <f t="shared" si="1"/>
        <v>400</v>
      </c>
      <c r="F14" s="36">
        <f t="shared" si="1"/>
        <v>96</v>
      </c>
      <c r="G14" s="34">
        <f t="shared" si="1"/>
        <v>240</v>
      </c>
      <c r="H14" s="80">
        <f t="shared" si="1"/>
        <v>240</v>
      </c>
      <c r="I14" s="80">
        <f t="shared" si="1"/>
        <v>160</v>
      </c>
      <c r="J14" s="80">
        <f t="shared" si="1"/>
        <v>400</v>
      </c>
      <c r="K14" s="80">
        <f t="shared" si="1"/>
        <v>200</v>
      </c>
      <c r="L14" s="36">
        <f t="shared" si="1"/>
        <v>800</v>
      </c>
    </row>
    <row r="15" spans="1:23" x14ac:dyDescent="0.25">
      <c r="A15" s="16" t="s">
        <v>34</v>
      </c>
      <c r="B15" s="1" t="s">
        <v>32</v>
      </c>
      <c r="C15" s="55">
        <v>6.1476314922256092</v>
      </c>
      <c r="D15" s="81">
        <v>2.3265638192798761</v>
      </c>
      <c r="E15" s="81">
        <v>0.511364472754685</v>
      </c>
      <c r="F15" s="57">
        <v>0.67725466703585002</v>
      </c>
      <c r="G15" s="55">
        <v>2.7812370713209957</v>
      </c>
      <c r="H15" s="81">
        <v>3.4828793877340534</v>
      </c>
      <c r="I15" s="81">
        <v>2.6148220718248312</v>
      </c>
      <c r="J15" s="81">
        <v>0.45944413270244083</v>
      </c>
      <c r="K15" s="81">
        <v>11.520940766680676</v>
      </c>
      <c r="L15" s="57">
        <v>16.090335784806676</v>
      </c>
      <c r="M15" s="112" t="s">
        <v>62</v>
      </c>
      <c r="N15" s="92">
        <f>C15/C22</f>
        <v>4.7289473017120072</v>
      </c>
      <c r="O15" s="92">
        <f>D15/D22</f>
        <v>4.8980290932207922</v>
      </c>
      <c r="P15" s="92">
        <f>E15/E22</f>
        <v>2.3243839670667499</v>
      </c>
      <c r="Q15" s="92">
        <f>F15/F22</f>
        <v>2.7090186681434001</v>
      </c>
      <c r="R15" s="92">
        <f>G15/G22</f>
        <v>1.1124948285283982</v>
      </c>
      <c r="S15" s="92">
        <f t="shared" ref="S15:U15" si="2">H15/H22</f>
        <v>2.9023994897783778</v>
      </c>
      <c r="T15" s="92">
        <f t="shared" si="2"/>
        <v>1.3074110359124156</v>
      </c>
      <c r="U15" s="92">
        <f t="shared" si="2"/>
        <v>2.0883824213747308</v>
      </c>
      <c r="V15" s="92"/>
      <c r="W15" s="92"/>
    </row>
    <row r="16" spans="1:23" x14ac:dyDescent="0.25">
      <c r="B16" s="1" t="s">
        <v>36</v>
      </c>
      <c r="C16" s="82">
        <f>(C8-C9)/C15/C7</f>
        <v>65.065708721455778</v>
      </c>
      <c r="D16" s="83">
        <f t="shared" ref="D16:L16" si="3">(D8-D9)/D15/D7</f>
        <v>37.824021533713179</v>
      </c>
      <c r="E16" s="83">
        <f t="shared" si="3"/>
        <v>78.222094281448165</v>
      </c>
      <c r="F16" s="84">
        <f>(F8-F9)/F15/F7</f>
        <v>35.43718658306355</v>
      </c>
      <c r="G16" s="82">
        <f t="shared" si="3"/>
        <v>43.146267981752437</v>
      </c>
      <c r="H16" s="83">
        <f t="shared" si="3"/>
        <v>34.454250819771133</v>
      </c>
      <c r="I16" s="83">
        <f t="shared" si="3"/>
        <v>30.594815938726423</v>
      </c>
      <c r="J16" s="83">
        <f t="shared" si="3"/>
        <v>87.061727755060957</v>
      </c>
      <c r="K16" s="83">
        <f t="shared" si="3"/>
        <v>86.798467265109664</v>
      </c>
      <c r="L16" s="84">
        <f t="shared" si="3"/>
        <v>49.719285582305943</v>
      </c>
    </row>
    <row r="17" spans="1:14" x14ac:dyDescent="0.25">
      <c r="B17" s="1" t="s">
        <v>38</v>
      </c>
      <c r="C17" s="37">
        <v>2000</v>
      </c>
      <c r="D17" s="85">
        <v>2000</v>
      </c>
      <c r="E17" s="85">
        <v>2000</v>
      </c>
      <c r="F17" s="39">
        <v>2000</v>
      </c>
      <c r="G17" s="37">
        <v>2000</v>
      </c>
      <c r="H17" s="85">
        <v>2000</v>
      </c>
      <c r="I17" s="85">
        <v>2000</v>
      </c>
      <c r="J17" s="85">
        <v>2000</v>
      </c>
      <c r="K17" s="85">
        <v>2000</v>
      </c>
      <c r="L17" s="39">
        <v>2000</v>
      </c>
    </row>
    <row r="18" spans="1:14" x14ac:dyDescent="0.25">
      <c r="A18" t="s">
        <v>39</v>
      </c>
      <c r="B18" s="1" t="s">
        <v>37</v>
      </c>
      <c r="C18" s="37">
        <f>(C8-C9)/C17/C7</f>
        <v>0.2</v>
      </c>
      <c r="D18" s="85">
        <f t="shared" ref="D18:L18" si="4">(D8-D9)/D17/D7</f>
        <v>4.4000000000000004E-2</v>
      </c>
      <c r="E18" s="85">
        <f t="shared" si="4"/>
        <v>0.02</v>
      </c>
      <c r="F18" s="86">
        <f>(F8-F9)/F17/F7</f>
        <v>1.2E-2</v>
      </c>
      <c r="G18" s="37">
        <f t="shared" si="4"/>
        <v>0.06</v>
      </c>
      <c r="H18" s="85">
        <f t="shared" si="4"/>
        <v>0.06</v>
      </c>
      <c r="I18" s="85">
        <f t="shared" si="4"/>
        <v>0.04</v>
      </c>
      <c r="J18" s="85">
        <f t="shared" si="4"/>
        <v>0.02</v>
      </c>
      <c r="K18" s="85">
        <f t="shared" si="4"/>
        <v>0.5</v>
      </c>
      <c r="L18" s="39">
        <f t="shared" si="4"/>
        <v>0.4</v>
      </c>
    </row>
    <row r="19" spans="1:14" x14ac:dyDescent="0.25">
      <c r="B19" s="1" t="s">
        <v>33</v>
      </c>
      <c r="C19" s="40">
        <f>C18/C15</f>
        <v>3.2532854360727892E-2</v>
      </c>
      <c r="D19" s="87">
        <f>D18/D15</f>
        <v>1.8912010766856589E-2</v>
      </c>
      <c r="E19" s="87">
        <f>E18/E15</f>
        <v>3.9111047140724081E-2</v>
      </c>
      <c r="F19" s="42">
        <f>F18/F15</f>
        <v>1.7718593291531779E-2</v>
      </c>
      <c r="G19" s="40">
        <f t="shared" ref="G19:L19" si="5">G18/G15</f>
        <v>2.1573133990876219E-2</v>
      </c>
      <c r="H19" s="87">
        <f t="shared" si="5"/>
        <v>1.7227125409885566E-2</v>
      </c>
      <c r="I19" s="87">
        <f t="shared" si="5"/>
        <v>1.5297407969363214E-2</v>
      </c>
      <c r="J19" s="87">
        <f>J18/J15</f>
        <v>4.3530863877530475E-2</v>
      </c>
      <c r="K19" s="87">
        <f t="shared" si="5"/>
        <v>4.339923363255483E-2</v>
      </c>
      <c r="L19" s="42">
        <f t="shared" si="5"/>
        <v>2.4859642791152974E-2</v>
      </c>
      <c r="N19" s="68"/>
    </row>
    <row r="20" spans="1:14" x14ac:dyDescent="0.25">
      <c r="B20" s="1" t="s">
        <v>31</v>
      </c>
      <c r="C20" s="31">
        <f>C18/C13</f>
        <v>0.2</v>
      </c>
      <c r="D20" s="79">
        <f>D18/D13</f>
        <v>0.17600000000000002</v>
      </c>
      <c r="E20" s="79">
        <f>E18/E13</f>
        <v>0.19999999999999998</v>
      </c>
      <c r="F20" s="33">
        <f>F18/F13</f>
        <v>4.8000000000000001E-2</v>
      </c>
      <c r="G20" s="31">
        <f>G18/G13</f>
        <v>0.12</v>
      </c>
      <c r="H20" s="79">
        <f t="shared" ref="H20:K20" si="6">H18/H13</f>
        <v>0.12</v>
      </c>
      <c r="I20" s="79">
        <f t="shared" si="6"/>
        <v>0.08</v>
      </c>
      <c r="J20" s="79">
        <f t="shared" si="6"/>
        <v>0.19999999999999998</v>
      </c>
      <c r="K20" s="79">
        <f t="shared" si="6"/>
        <v>0.1</v>
      </c>
      <c r="L20" s="33">
        <f>L18/L13</f>
        <v>0.4</v>
      </c>
    </row>
    <row r="21" spans="1:14" x14ac:dyDescent="0.25">
      <c r="B21" s="1" t="s">
        <v>60</v>
      </c>
      <c r="C21" s="31">
        <v>1.3</v>
      </c>
      <c r="D21" s="79">
        <v>1.9</v>
      </c>
      <c r="E21" s="79">
        <v>2.2000000000000002</v>
      </c>
      <c r="F21" s="33">
        <v>1</v>
      </c>
      <c r="G21" s="31">
        <v>5</v>
      </c>
      <c r="H21" s="79">
        <v>2.4</v>
      </c>
      <c r="I21" s="79">
        <v>4</v>
      </c>
      <c r="J21" s="79">
        <v>2.2000000000000002</v>
      </c>
      <c r="K21" s="79"/>
      <c r="L21" s="33"/>
    </row>
    <row r="22" spans="1:14" x14ac:dyDescent="0.25">
      <c r="B22" s="1" t="s">
        <v>61</v>
      </c>
      <c r="C22" s="31">
        <f>C21*C13</f>
        <v>1.3</v>
      </c>
      <c r="D22" s="79">
        <f>D21*D13</f>
        <v>0.47499999999999998</v>
      </c>
      <c r="E22" s="79">
        <f>E21*E13</f>
        <v>0.22000000000000003</v>
      </c>
      <c r="F22" s="33">
        <f t="shared" ref="F22:J22" si="7">F21*F13</f>
        <v>0.25</v>
      </c>
      <c r="G22" s="31">
        <f>G21*G13</f>
        <v>2.5</v>
      </c>
      <c r="H22" s="79">
        <f t="shared" si="7"/>
        <v>1.2</v>
      </c>
      <c r="I22" s="79">
        <f t="shared" si="7"/>
        <v>2</v>
      </c>
      <c r="J22" s="79">
        <f t="shared" si="7"/>
        <v>0.22000000000000003</v>
      </c>
      <c r="K22" s="79"/>
      <c r="L22" s="33"/>
    </row>
    <row r="23" spans="1:14" x14ac:dyDescent="0.25">
      <c r="A23" t="s">
        <v>47</v>
      </c>
      <c r="B23" s="1" t="s">
        <v>40</v>
      </c>
      <c r="C23" s="43"/>
      <c r="D23" s="88"/>
      <c r="E23" s="88"/>
      <c r="F23" s="45"/>
      <c r="G23" s="43"/>
      <c r="H23" s="88"/>
      <c r="I23" s="88"/>
      <c r="J23" s="88"/>
      <c r="K23" s="88"/>
      <c r="L23" s="45"/>
    </row>
    <row r="24" spans="1:14" x14ac:dyDescent="0.25">
      <c r="B24" s="1" t="s">
        <v>41</v>
      </c>
      <c r="C24" s="43"/>
      <c r="D24" s="88"/>
      <c r="E24" s="88"/>
      <c r="F24" s="45"/>
      <c r="G24" s="43"/>
      <c r="H24" s="88"/>
      <c r="I24" s="88"/>
      <c r="J24" s="88"/>
      <c r="K24" s="88"/>
      <c r="L24" s="45"/>
    </row>
    <row r="25" spans="1:14" x14ac:dyDescent="0.25">
      <c r="B25" s="1" t="s">
        <v>42</v>
      </c>
      <c r="C25" s="46" t="e">
        <f>C23/C24</f>
        <v>#DIV/0!</v>
      </c>
      <c r="D25" s="47" t="e">
        <f t="shared" ref="D25:K25" si="8">D23/D24</f>
        <v>#DIV/0!</v>
      </c>
      <c r="E25" s="47" t="e">
        <f t="shared" si="8"/>
        <v>#DIV/0!</v>
      </c>
      <c r="F25" s="48" t="e">
        <f t="shared" si="8"/>
        <v>#DIV/0!</v>
      </c>
      <c r="G25" s="46" t="e">
        <f t="shared" si="8"/>
        <v>#DIV/0!</v>
      </c>
      <c r="H25" s="47" t="e">
        <f t="shared" si="8"/>
        <v>#DIV/0!</v>
      </c>
      <c r="I25" s="47" t="e">
        <f t="shared" si="8"/>
        <v>#DIV/0!</v>
      </c>
      <c r="J25" s="47" t="e">
        <f t="shared" si="8"/>
        <v>#DIV/0!</v>
      </c>
      <c r="K25" s="47" t="e">
        <f t="shared" si="8"/>
        <v>#DIV/0!</v>
      </c>
      <c r="L25" s="48" t="e">
        <f>L23/L24</f>
        <v>#DIV/0!</v>
      </c>
    </row>
    <row r="26" spans="1:14" x14ac:dyDescent="0.25">
      <c r="A26" t="s">
        <v>43</v>
      </c>
      <c r="B26" s="1" t="s">
        <v>40</v>
      </c>
      <c r="C26" s="43"/>
      <c r="D26" s="88"/>
      <c r="E26" s="88"/>
      <c r="F26" s="45"/>
      <c r="G26" s="43"/>
      <c r="H26" s="88"/>
      <c r="I26" s="88"/>
      <c r="J26" s="88"/>
      <c r="K26" s="88"/>
      <c r="L26" s="45"/>
    </row>
    <row r="27" spans="1:14" x14ac:dyDescent="0.25">
      <c r="B27" s="1" t="s">
        <v>41</v>
      </c>
      <c r="C27" s="43"/>
      <c r="D27" s="88"/>
      <c r="E27" s="88"/>
      <c r="F27" s="45"/>
      <c r="G27" s="43"/>
      <c r="H27" s="88"/>
      <c r="I27" s="88"/>
      <c r="J27" s="88"/>
      <c r="K27" s="88"/>
      <c r="L27" s="45"/>
    </row>
    <row r="28" spans="1:14" x14ac:dyDescent="0.25">
      <c r="B28" s="1" t="s">
        <v>42</v>
      </c>
      <c r="C28" s="46" t="e">
        <f t="shared" ref="C28:K28" si="9">C26/C27</f>
        <v>#DIV/0!</v>
      </c>
      <c r="D28" s="47" t="e">
        <f t="shared" si="9"/>
        <v>#DIV/0!</v>
      </c>
      <c r="E28" s="47" t="e">
        <f t="shared" si="9"/>
        <v>#DIV/0!</v>
      </c>
      <c r="F28" s="48" t="e">
        <f t="shared" si="9"/>
        <v>#DIV/0!</v>
      </c>
      <c r="G28" s="46" t="e">
        <f t="shared" si="9"/>
        <v>#DIV/0!</v>
      </c>
      <c r="H28" s="47" t="e">
        <f t="shared" si="9"/>
        <v>#DIV/0!</v>
      </c>
      <c r="I28" s="47" t="e">
        <f t="shared" si="9"/>
        <v>#DIV/0!</v>
      </c>
      <c r="J28" s="47" t="e">
        <f t="shared" si="9"/>
        <v>#DIV/0!</v>
      </c>
      <c r="K28" s="47" t="e">
        <f t="shared" si="9"/>
        <v>#DIV/0!</v>
      </c>
      <c r="L28" s="48" t="e">
        <f>L26/L27</f>
        <v>#DIV/0!</v>
      </c>
    </row>
    <row r="29" spans="1:14" x14ac:dyDescent="0.25">
      <c r="A29" t="s">
        <v>44</v>
      </c>
      <c r="B29" s="1" t="s">
        <v>40</v>
      </c>
      <c r="C29" s="43"/>
      <c r="D29" s="88"/>
      <c r="E29" s="88"/>
      <c r="F29" s="45"/>
      <c r="G29" s="43"/>
      <c r="H29" s="88"/>
      <c r="I29" s="88"/>
      <c r="J29" s="88"/>
      <c r="K29" s="88"/>
      <c r="L29" s="45"/>
    </row>
    <row r="30" spans="1:14" x14ac:dyDescent="0.25">
      <c r="B30" s="1" t="s">
        <v>41</v>
      </c>
      <c r="C30" s="43"/>
      <c r="D30" s="88"/>
      <c r="E30" s="88"/>
      <c r="F30" s="45"/>
      <c r="G30" s="43"/>
      <c r="H30" s="88"/>
      <c r="I30" s="88"/>
      <c r="J30" s="88"/>
      <c r="K30" s="88"/>
      <c r="L30" s="45"/>
    </row>
    <row r="31" spans="1:14" x14ac:dyDescent="0.25">
      <c r="B31" s="1" t="s">
        <v>42</v>
      </c>
      <c r="C31" s="46" t="e">
        <f t="shared" ref="C31:K31" si="10">C29/C30</f>
        <v>#DIV/0!</v>
      </c>
      <c r="D31" s="47" t="e">
        <f t="shared" si="10"/>
        <v>#DIV/0!</v>
      </c>
      <c r="E31" s="47" t="e">
        <f t="shared" si="10"/>
        <v>#DIV/0!</v>
      </c>
      <c r="F31" s="48" t="e">
        <f t="shared" si="10"/>
        <v>#DIV/0!</v>
      </c>
      <c r="G31" s="46" t="e">
        <f t="shared" si="10"/>
        <v>#DIV/0!</v>
      </c>
      <c r="H31" s="47" t="e">
        <f t="shared" si="10"/>
        <v>#DIV/0!</v>
      </c>
      <c r="I31" s="47" t="e">
        <f t="shared" si="10"/>
        <v>#DIV/0!</v>
      </c>
      <c r="J31" s="47" t="e">
        <f t="shared" si="10"/>
        <v>#DIV/0!</v>
      </c>
      <c r="K31" s="47" t="e">
        <f t="shared" si="10"/>
        <v>#DIV/0!</v>
      </c>
      <c r="L31" s="48" t="e">
        <f>L29/L30</f>
        <v>#DIV/0!</v>
      </c>
    </row>
    <row r="32" spans="1:14" x14ac:dyDescent="0.25">
      <c r="A32" t="s">
        <v>45</v>
      </c>
      <c r="B32" s="1" t="s">
        <v>40</v>
      </c>
      <c r="C32" s="43"/>
      <c r="D32" s="88"/>
      <c r="E32" s="88"/>
      <c r="F32" s="45"/>
      <c r="G32" s="43"/>
      <c r="H32" s="88"/>
      <c r="I32" s="88"/>
      <c r="J32" s="88"/>
      <c r="K32" s="88"/>
      <c r="L32" s="45"/>
    </row>
    <row r="33" spans="1:14" x14ac:dyDescent="0.25">
      <c r="B33" s="1" t="s">
        <v>41</v>
      </c>
      <c r="C33" s="43"/>
      <c r="D33" s="88"/>
      <c r="E33" s="88"/>
      <c r="F33" s="45"/>
      <c r="G33" s="43"/>
      <c r="H33" s="88"/>
      <c r="I33" s="88"/>
      <c r="J33" s="88"/>
      <c r="K33" s="88"/>
      <c r="L33" s="45"/>
    </row>
    <row r="34" spans="1:14" x14ac:dyDescent="0.25">
      <c r="B34" s="1" t="s">
        <v>42</v>
      </c>
      <c r="C34" s="46" t="e">
        <f t="shared" ref="C34:K34" si="11">C32/C33</f>
        <v>#DIV/0!</v>
      </c>
      <c r="D34" s="47" t="e">
        <f t="shared" si="11"/>
        <v>#DIV/0!</v>
      </c>
      <c r="E34" s="47" t="e">
        <f t="shared" si="11"/>
        <v>#DIV/0!</v>
      </c>
      <c r="F34" s="48" t="e">
        <f t="shared" si="11"/>
        <v>#DIV/0!</v>
      </c>
      <c r="G34" s="46" t="e">
        <f t="shared" si="11"/>
        <v>#DIV/0!</v>
      </c>
      <c r="H34" s="47" t="e">
        <f t="shared" si="11"/>
        <v>#DIV/0!</v>
      </c>
      <c r="I34" s="47" t="e">
        <f t="shared" si="11"/>
        <v>#DIV/0!</v>
      </c>
      <c r="J34" s="47" t="e">
        <f t="shared" si="11"/>
        <v>#DIV/0!</v>
      </c>
      <c r="K34" s="47" t="e">
        <f t="shared" si="11"/>
        <v>#DIV/0!</v>
      </c>
      <c r="L34" s="48" t="e">
        <f>L32/L33</f>
        <v>#DIV/0!</v>
      </c>
    </row>
    <row r="35" spans="1:14" x14ac:dyDescent="0.25">
      <c r="A35" t="s">
        <v>46</v>
      </c>
      <c r="B35" s="1" t="s">
        <v>40</v>
      </c>
      <c r="C35" s="43"/>
      <c r="D35" s="88"/>
      <c r="E35" s="88"/>
      <c r="F35" s="45"/>
      <c r="G35" s="43"/>
      <c r="H35" s="88"/>
      <c r="I35" s="88"/>
      <c r="J35" s="88"/>
      <c r="K35" s="88"/>
      <c r="L35" s="45"/>
    </row>
    <row r="36" spans="1:14" x14ac:dyDescent="0.25">
      <c r="B36" s="1" t="s">
        <v>41</v>
      </c>
      <c r="C36" s="43"/>
      <c r="D36" s="88"/>
      <c r="E36" s="88"/>
      <c r="F36" s="45"/>
      <c r="G36" s="43"/>
      <c r="H36" s="88"/>
      <c r="I36" s="88"/>
      <c r="J36" s="88"/>
      <c r="K36" s="88"/>
      <c r="L36" s="45"/>
    </row>
    <row r="37" spans="1:14" ht="15.75" thickBot="1" x14ac:dyDescent="0.3">
      <c r="B37" s="1" t="s">
        <v>42</v>
      </c>
      <c r="C37" s="49" t="e">
        <f t="shared" ref="C37:K37" si="12">C35/C36</f>
        <v>#DIV/0!</v>
      </c>
      <c r="D37" s="50" t="e">
        <f t="shared" si="12"/>
        <v>#DIV/0!</v>
      </c>
      <c r="E37" s="50" t="e">
        <f t="shared" si="12"/>
        <v>#DIV/0!</v>
      </c>
      <c r="F37" s="51" t="e">
        <f t="shared" si="12"/>
        <v>#DIV/0!</v>
      </c>
      <c r="G37" s="49" t="e">
        <f t="shared" si="12"/>
        <v>#DIV/0!</v>
      </c>
      <c r="H37" s="50" t="e">
        <f t="shared" si="12"/>
        <v>#DIV/0!</v>
      </c>
      <c r="I37" s="50" t="e">
        <f t="shared" si="12"/>
        <v>#DIV/0!</v>
      </c>
      <c r="J37" s="50" t="e">
        <f t="shared" si="12"/>
        <v>#DIV/0!</v>
      </c>
      <c r="K37" s="50" t="e">
        <f t="shared" si="12"/>
        <v>#DIV/0!</v>
      </c>
      <c r="L37" s="51" t="e">
        <f>L35/L36</f>
        <v>#DIV/0!</v>
      </c>
    </row>
    <row r="38" spans="1:14" ht="15.75" thickBot="1" x14ac:dyDescent="0.3"/>
    <row r="39" spans="1:14" ht="15.75" thickBot="1" x14ac:dyDescent="0.3">
      <c r="A39" t="s">
        <v>15</v>
      </c>
      <c r="B39" s="16">
        <v>0.1</v>
      </c>
      <c r="C39" s="58">
        <f>MAX(ROUND(C15*$B$39/C13,0)*C13,C13)*C17*C7</f>
        <v>2000</v>
      </c>
      <c r="D39" s="59">
        <f t="shared" ref="D39:L39" si="13">MAX(ROUND(D15*$B$39/D13,0)*D13,D13)*D17*D7</f>
        <v>50000</v>
      </c>
      <c r="E39" s="59">
        <f t="shared" si="13"/>
        <v>2000</v>
      </c>
      <c r="F39" s="59">
        <f>MAX(ROUND(F15*$B$39/F13,0)*F13,F13)*F17*F7</f>
        <v>50000</v>
      </c>
      <c r="G39" s="59">
        <f t="shared" si="13"/>
        <v>10000</v>
      </c>
      <c r="H39" s="59">
        <f t="shared" si="13"/>
        <v>10000</v>
      </c>
      <c r="I39" s="59">
        <f t="shared" si="13"/>
        <v>10000</v>
      </c>
      <c r="J39" s="59">
        <f t="shared" si="13"/>
        <v>2000</v>
      </c>
      <c r="K39" s="59">
        <f t="shared" si="13"/>
        <v>10000</v>
      </c>
      <c r="L39" s="60">
        <f t="shared" si="13"/>
        <v>4000</v>
      </c>
      <c r="N39" s="89"/>
    </row>
    <row r="40" spans="1:14" x14ac:dyDescent="0.25">
      <c r="B40" s="1" t="s">
        <v>37</v>
      </c>
      <c r="C40" s="92">
        <f t="shared" ref="C40:L40" si="14">(C39+C39)/C17</f>
        <v>2</v>
      </c>
      <c r="D40" s="92">
        <f>(D39+D39)/D17</f>
        <v>50</v>
      </c>
      <c r="E40" s="92">
        <f t="shared" si="14"/>
        <v>2</v>
      </c>
      <c r="F40" s="92">
        <f t="shared" si="14"/>
        <v>50</v>
      </c>
      <c r="G40" s="92">
        <f t="shared" si="14"/>
        <v>10</v>
      </c>
      <c r="H40" s="92">
        <f t="shared" si="14"/>
        <v>10</v>
      </c>
      <c r="I40" s="92">
        <f t="shared" si="14"/>
        <v>10</v>
      </c>
      <c r="J40" s="92">
        <f t="shared" si="14"/>
        <v>2</v>
      </c>
      <c r="K40" s="92">
        <f t="shared" si="14"/>
        <v>10</v>
      </c>
      <c r="L40" s="92">
        <f t="shared" si="14"/>
        <v>4</v>
      </c>
      <c r="N40" s="16"/>
    </row>
    <row r="42" spans="1:14" x14ac:dyDescent="0.25">
      <c r="B42">
        <v>0</v>
      </c>
      <c r="C42" s="90">
        <f>-C39</f>
        <v>-2000</v>
      </c>
      <c r="D42" s="90">
        <f t="shared" ref="D42:L42" si="15">-D39</f>
        <v>-50000</v>
      </c>
      <c r="E42" s="90">
        <f t="shared" si="15"/>
        <v>-2000</v>
      </c>
      <c r="F42" s="90">
        <f t="shared" si="15"/>
        <v>-50000</v>
      </c>
      <c r="G42" s="90">
        <f t="shared" si="15"/>
        <v>-10000</v>
      </c>
      <c r="H42" s="90">
        <f t="shared" si="15"/>
        <v>-10000</v>
      </c>
      <c r="I42" s="90">
        <f t="shared" si="15"/>
        <v>-10000</v>
      </c>
      <c r="J42" s="90">
        <f t="shared" si="15"/>
        <v>-2000</v>
      </c>
      <c r="K42" s="90">
        <f t="shared" si="15"/>
        <v>-10000</v>
      </c>
      <c r="L42" s="90">
        <f t="shared" si="15"/>
        <v>-4000</v>
      </c>
      <c r="N42" s="91"/>
    </row>
    <row r="43" spans="1:14" x14ac:dyDescent="0.25">
      <c r="B43">
        <f>B42+1</f>
        <v>1</v>
      </c>
      <c r="C43" s="90">
        <f>C42+C$40</f>
        <v>-1998</v>
      </c>
      <c r="D43" s="90">
        <f t="shared" ref="D43:L58" si="16">D42+D$40</f>
        <v>-49950</v>
      </c>
      <c r="E43" s="90">
        <f t="shared" si="16"/>
        <v>-1998</v>
      </c>
      <c r="F43" s="90">
        <f t="shared" si="16"/>
        <v>-49950</v>
      </c>
      <c r="G43" s="90">
        <f t="shared" si="16"/>
        <v>-9990</v>
      </c>
      <c r="H43" s="90">
        <f t="shared" si="16"/>
        <v>-9990</v>
      </c>
      <c r="I43" s="90">
        <f t="shared" si="16"/>
        <v>-9990</v>
      </c>
      <c r="J43" s="90">
        <f t="shared" si="16"/>
        <v>-1998</v>
      </c>
      <c r="K43" s="90">
        <f t="shared" si="16"/>
        <v>-9990</v>
      </c>
      <c r="L43" s="90">
        <f t="shared" si="16"/>
        <v>-3996</v>
      </c>
    </row>
    <row r="44" spans="1:14" x14ac:dyDescent="0.25">
      <c r="B44">
        <f t="shared" ref="B44:B107" si="17">B43+1</f>
        <v>2</v>
      </c>
      <c r="C44" s="90">
        <f t="shared" ref="C44:L82" si="18">C43+C$40</f>
        <v>-1996</v>
      </c>
      <c r="D44" s="90">
        <f t="shared" si="16"/>
        <v>-49900</v>
      </c>
      <c r="E44" s="90">
        <f t="shared" si="16"/>
        <v>-1996</v>
      </c>
      <c r="F44" s="90">
        <f t="shared" si="16"/>
        <v>-49900</v>
      </c>
      <c r="G44" s="90">
        <f t="shared" si="16"/>
        <v>-9980</v>
      </c>
      <c r="H44" s="90">
        <f t="shared" si="16"/>
        <v>-9980</v>
      </c>
      <c r="I44" s="90">
        <f t="shared" si="16"/>
        <v>-9980</v>
      </c>
      <c r="J44" s="90">
        <f t="shared" si="16"/>
        <v>-1996</v>
      </c>
      <c r="K44" s="90">
        <f t="shared" si="16"/>
        <v>-9980</v>
      </c>
      <c r="L44" s="90">
        <f t="shared" si="16"/>
        <v>-3992</v>
      </c>
    </row>
    <row r="45" spans="1:14" x14ac:dyDescent="0.25">
      <c r="B45">
        <f t="shared" si="17"/>
        <v>3</v>
      </c>
      <c r="C45" s="90">
        <f t="shared" si="18"/>
        <v>-1994</v>
      </c>
      <c r="D45" s="90">
        <f t="shared" si="16"/>
        <v>-49850</v>
      </c>
      <c r="E45" s="90">
        <f t="shared" si="16"/>
        <v>-1994</v>
      </c>
      <c r="F45" s="90">
        <f t="shared" si="16"/>
        <v>-49850</v>
      </c>
      <c r="G45" s="90">
        <f t="shared" si="16"/>
        <v>-9970</v>
      </c>
      <c r="H45" s="90">
        <f t="shared" si="16"/>
        <v>-9970</v>
      </c>
      <c r="I45" s="90">
        <f t="shared" si="16"/>
        <v>-9970</v>
      </c>
      <c r="J45" s="90">
        <f t="shared" si="16"/>
        <v>-1994</v>
      </c>
      <c r="K45" s="90">
        <f t="shared" si="16"/>
        <v>-9970</v>
      </c>
      <c r="L45" s="90">
        <f t="shared" si="16"/>
        <v>-3988</v>
      </c>
    </row>
    <row r="46" spans="1:14" x14ac:dyDescent="0.25">
      <c r="B46">
        <f t="shared" si="17"/>
        <v>4</v>
      </c>
      <c r="C46" s="90">
        <f t="shared" si="18"/>
        <v>-1992</v>
      </c>
      <c r="D46" s="90">
        <f t="shared" si="16"/>
        <v>-49800</v>
      </c>
      <c r="E46" s="90">
        <f t="shared" si="16"/>
        <v>-1992</v>
      </c>
      <c r="F46" s="90">
        <f t="shared" si="16"/>
        <v>-49800</v>
      </c>
      <c r="G46" s="90">
        <f t="shared" si="16"/>
        <v>-9960</v>
      </c>
      <c r="H46" s="90">
        <f t="shared" si="16"/>
        <v>-9960</v>
      </c>
      <c r="I46" s="90">
        <f t="shared" si="16"/>
        <v>-9960</v>
      </c>
      <c r="J46" s="90">
        <f t="shared" si="16"/>
        <v>-1992</v>
      </c>
      <c r="K46" s="90">
        <f t="shared" si="16"/>
        <v>-9960</v>
      </c>
      <c r="L46" s="90">
        <f t="shared" si="16"/>
        <v>-3984</v>
      </c>
    </row>
    <row r="47" spans="1:14" x14ac:dyDescent="0.25">
      <c r="B47">
        <f t="shared" si="17"/>
        <v>5</v>
      </c>
      <c r="C47" s="90">
        <f t="shared" si="18"/>
        <v>-1990</v>
      </c>
      <c r="D47" s="90">
        <f t="shared" si="16"/>
        <v>-49750</v>
      </c>
      <c r="E47" s="90">
        <f t="shared" si="16"/>
        <v>-1990</v>
      </c>
      <c r="F47" s="90">
        <f t="shared" si="16"/>
        <v>-49750</v>
      </c>
      <c r="G47" s="90">
        <f t="shared" si="16"/>
        <v>-9950</v>
      </c>
      <c r="H47" s="90">
        <f t="shared" si="16"/>
        <v>-9950</v>
      </c>
      <c r="I47" s="90">
        <f t="shared" si="16"/>
        <v>-9950</v>
      </c>
      <c r="J47" s="90">
        <f t="shared" si="16"/>
        <v>-1990</v>
      </c>
      <c r="K47" s="90">
        <f t="shared" si="16"/>
        <v>-9950</v>
      </c>
      <c r="L47" s="90">
        <f t="shared" si="16"/>
        <v>-3980</v>
      </c>
    </row>
    <row r="48" spans="1:14" x14ac:dyDescent="0.25">
      <c r="B48">
        <f t="shared" si="17"/>
        <v>6</v>
      </c>
      <c r="C48" s="90">
        <f t="shared" si="18"/>
        <v>-1988</v>
      </c>
      <c r="D48" s="90">
        <f t="shared" si="16"/>
        <v>-49700</v>
      </c>
      <c r="E48" s="90">
        <f t="shared" si="16"/>
        <v>-1988</v>
      </c>
      <c r="F48" s="90">
        <f t="shared" si="16"/>
        <v>-49700</v>
      </c>
      <c r="G48" s="90">
        <f t="shared" si="16"/>
        <v>-9940</v>
      </c>
      <c r="H48" s="90">
        <f t="shared" si="16"/>
        <v>-9940</v>
      </c>
      <c r="I48" s="90">
        <f t="shared" si="16"/>
        <v>-9940</v>
      </c>
      <c r="J48" s="90">
        <f t="shared" si="16"/>
        <v>-1988</v>
      </c>
      <c r="K48" s="90">
        <f t="shared" si="16"/>
        <v>-9940</v>
      </c>
      <c r="L48" s="90">
        <f t="shared" si="16"/>
        <v>-3976</v>
      </c>
    </row>
    <row r="49" spans="2:12" x14ac:dyDescent="0.25">
      <c r="B49">
        <f t="shared" si="17"/>
        <v>7</v>
      </c>
      <c r="C49" s="90">
        <f t="shared" si="18"/>
        <v>-1986</v>
      </c>
      <c r="D49" s="90">
        <f t="shared" si="16"/>
        <v>-49650</v>
      </c>
      <c r="E49" s="90">
        <f t="shared" si="16"/>
        <v>-1986</v>
      </c>
      <c r="F49" s="90">
        <f t="shared" si="16"/>
        <v>-49650</v>
      </c>
      <c r="G49" s="90">
        <f t="shared" si="16"/>
        <v>-9930</v>
      </c>
      <c r="H49" s="90">
        <f t="shared" si="16"/>
        <v>-9930</v>
      </c>
      <c r="I49" s="90">
        <f t="shared" si="16"/>
        <v>-9930</v>
      </c>
      <c r="J49" s="90">
        <f t="shared" si="16"/>
        <v>-1986</v>
      </c>
      <c r="K49" s="90">
        <f t="shared" si="16"/>
        <v>-9930</v>
      </c>
      <c r="L49" s="90">
        <f t="shared" si="16"/>
        <v>-3972</v>
      </c>
    </row>
    <row r="50" spans="2:12" x14ac:dyDescent="0.25">
      <c r="B50">
        <f t="shared" si="17"/>
        <v>8</v>
      </c>
      <c r="C50" s="90">
        <f t="shared" si="18"/>
        <v>-1984</v>
      </c>
      <c r="D50" s="90">
        <f t="shared" si="16"/>
        <v>-49600</v>
      </c>
      <c r="E50" s="90">
        <f t="shared" si="16"/>
        <v>-1984</v>
      </c>
      <c r="F50" s="90">
        <f t="shared" si="16"/>
        <v>-49600</v>
      </c>
      <c r="G50" s="90">
        <f t="shared" si="16"/>
        <v>-9920</v>
      </c>
      <c r="H50" s="90">
        <f t="shared" si="16"/>
        <v>-9920</v>
      </c>
      <c r="I50" s="90">
        <f t="shared" si="16"/>
        <v>-9920</v>
      </c>
      <c r="J50" s="90">
        <f t="shared" si="16"/>
        <v>-1984</v>
      </c>
      <c r="K50" s="90">
        <f t="shared" si="16"/>
        <v>-9920</v>
      </c>
      <c r="L50" s="90">
        <f t="shared" si="16"/>
        <v>-3968</v>
      </c>
    </row>
    <row r="51" spans="2:12" x14ac:dyDescent="0.25">
      <c r="B51">
        <f t="shared" si="17"/>
        <v>9</v>
      </c>
      <c r="C51" s="90">
        <f t="shared" si="18"/>
        <v>-1982</v>
      </c>
      <c r="D51" s="90">
        <f t="shared" si="16"/>
        <v>-49550</v>
      </c>
      <c r="E51" s="90">
        <f t="shared" si="16"/>
        <v>-1982</v>
      </c>
      <c r="F51" s="90">
        <f t="shared" si="16"/>
        <v>-49550</v>
      </c>
      <c r="G51" s="90">
        <f t="shared" si="16"/>
        <v>-9910</v>
      </c>
      <c r="H51" s="90">
        <f t="shared" si="16"/>
        <v>-9910</v>
      </c>
      <c r="I51" s="90">
        <f t="shared" si="16"/>
        <v>-9910</v>
      </c>
      <c r="J51" s="90">
        <f t="shared" si="16"/>
        <v>-1982</v>
      </c>
      <c r="K51" s="90">
        <f t="shared" si="16"/>
        <v>-9910</v>
      </c>
      <c r="L51" s="90">
        <f t="shared" si="16"/>
        <v>-3964</v>
      </c>
    </row>
    <row r="52" spans="2:12" x14ac:dyDescent="0.25">
      <c r="B52">
        <f t="shared" si="17"/>
        <v>10</v>
      </c>
      <c r="C52" s="90">
        <f t="shared" si="18"/>
        <v>-1980</v>
      </c>
      <c r="D52" s="90">
        <f t="shared" si="16"/>
        <v>-49500</v>
      </c>
      <c r="E52" s="90">
        <f t="shared" si="16"/>
        <v>-1980</v>
      </c>
      <c r="F52" s="90">
        <f t="shared" si="16"/>
        <v>-49500</v>
      </c>
      <c r="G52" s="90">
        <f t="shared" si="16"/>
        <v>-9900</v>
      </c>
      <c r="H52" s="90">
        <f t="shared" si="16"/>
        <v>-9900</v>
      </c>
      <c r="I52" s="90">
        <f t="shared" si="16"/>
        <v>-9900</v>
      </c>
      <c r="J52" s="90">
        <f t="shared" si="16"/>
        <v>-1980</v>
      </c>
      <c r="K52" s="90">
        <f t="shared" si="16"/>
        <v>-9900</v>
      </c>
      <c r="L52" s="90">
        <f t="shared" si="16"/>
        <v>-3960</v>
      </c>
    </row>
    <row r="53" spans="2:12" x14ac:dyDescent="0.25">
      <c r="B53">
        <f t="shared" si="17"/>
        <v>11</v>
      </c>
      <c r="C53" s="90">
        <f t="shared" si="18"/>
        <v>-1978</v>
      </c>
      <c r="D53" s="90">
        <f t="shared" si="16"/>
        <v>-49450</v>
      </c>
      <c r="E53" s="90">
        <f t="shared" si="16"/>
        <v>-1978</v>
      </c>
      <c r="F53" s="90">
        <f t="shared" si="16"/>
        <v>-49450</v>
      </c>
      <c r="G53" s="90">
        <f t="shared" si="16"/>
        <v>-9890</v>
      </c>
      <c r="H53" s="90">
        <f t="shared" si="16"/>
        <v>-9890</v>
      </c>
      <c r="I53" s="90">
        <f t="shared" si="16"/>
        <v>-9890</v>
      </c>
      <c r="J53" s="90">
        <f t="shared" si="16"/>
        <v>-1978</v>
      </c>
      <c r="K53" s="90">
        <f t="shared" si="16"/>
        <v>-9890</v>
      </c>
      <c r="L53" s="90">
        <f t="shared" si="16"/>
        <v>-3956</v>
      </c>
    </row>
    <row r="54" spans="2:12" x14ac:dyDescent="0.25">
      <c r="B54">
        <f t="shared" si="17"/>
        <v>12</v>
      </c>
      <c r="C54" s="90">
        <f t="shared" si="18"/>
        <v>-1976</v>
      </c>
      <c r="D54" s="90">
        <f t="shared" si="16"/>
        <v>-49400</v>
      </c>
      <c r="E54" s="90">
        <f t="shared" si="16"/>
        <v>-1976</v>
      </c>
      <c r="F54" s="90">
        <f t="shared" si="16"/>
        <v>-49400</v>
      </c>
      <c r="G54" s="90">
        <f t="shared" si="16"/>
        <v>-9880</v>
      </c>
      <c r="H54" s="90">
        <f t="shared" si="16"/>
        <v>-9880</v>
      </c>
      <c r="I54" s="90">
        <f t="shared" si="16"/>
        <v>-9880</v>
      </c>
      <c r="J54" s="90">
        <f t="shared" si="16"/>
        <v>-1976</v>
      </c>
      <c r="K54" s="90">
        <f t="shared" si="16"/>
        <v>-9880</v>
      </c>
      <c r="L54" s="90">
        <f t="shared" si="16"/>
        <v>-3952</v>
      </c>
    </row>
    <row r="55" spans="2:12" x14ac:dyDescent="0.25">
      <c r="B55">
        <f t="shared" si="17"/>
        <v>13</v>
      </c>
      <c r="C55" s="90">
        <f t="shared" si="18"/>
        <v>-1974</v>
      </c>
      <c r="D55" s="90">
        <f t="shared" si="16"/>
        <v>-49350</v>
      </c>
      <c r="E55" s="90">
        <f t="shared" si="16"/>
        <v>-1974</v>
      </c>
      <c r="F55" s="90">
        <f t="shared" si="16"/>
        <v>-49350</v>
      </c>
      <c r="G55" s="90">
        <f t="shared" si="16"/>
        <v>-9870</v>
      </c>
      <c r="H55" s="90">
        <f t="shared" si="16"/>
        <v>-9870</v>
      </c>
      <c r="I55" s="90">
        <f t="shared" si="16"/>
        <v>-9870</v>
      </c>
      <c r="J55" s="90">
        <f t="shared" si="16"/>
        <v>-1974</v>
      </c>
      <c r="K55" s="90">
        <f t="shared" si="16"/>
        <v>-9870</v>
      </c>
      <c r="L55" s="90">
        <f t="shared" si="16"/>
        <v>-3948</v>
      </c>
    </row>
    <row r="56" spans="2:12" x14ac:dyDescent="0.25">
      <c r="B56">
        <f t="shared" si="17"/>
        <v>14</v>
      </c>
      <c r="C56" s="90">
        <f t="shared" si="18"/>
        <v>-1972</v>
      </c>
      <c r="D56" s="90">
        <f t="shared" si="16"/>
        <v>-49300</v>
      </c>
      <c r="E56" s="90">
        <f t="shared" si="16"/>
        <v>-1972</v>
      </c>
      <c r="F56" s="90">
        <f t="shared" si="16"/>
        <v>-49300</v>
      </c>
      <c r="G56" s="90">
        <f t="shared" si="16"/>
        <v>-9860</v>
      </c>
      <c r="H56" s="90">
        <f t="shared" si="16"/>
        <v>-9860</v>
      </c>
      <c r="I56" s="90">
        <f t="shared" si="16"/>
        <v>-9860</v>
      </c>
      <c r="J56" s="90">
        <f t="shared" si="16"/>
        <v>-1972</v>
      </c>
      <c r="K56" s="90">
        <f t="shared" si="16"/>
        <v>-9860</v>
      </c>
      <c r="L56" s="90">
        <f t="shared" si="16"/>
        <v>-3944</v>
      </c>
    </row>
    <row r="57" spans="2:12" x14ac:dyDescent="0.25">
      <c r="B57">
        <f t="shared" si="17"/>
        <v>15</v>
      </c>
      <c r="C57" s="90">
        <f t="shared" si="18"/>
        <v>-1970</v>
      </c>
      <c r="D57" s="90">
        <f t="shared" si="16"/>
        <v>-49250</v>
      </c>
      <c r="E57" s="90">
        <f t="shared" si="16"/>
        <v>-1970</v>
      </c>
      <c r="F57" s="90">
        <f t="shared" si="16"/>
        <v>-49250</v>
      </c>
      <c r="G57" s="90">
        <f t="shared" si="16"/>
        <v>-9850</v>
      </c>
      <c r="H57" s="90">
        <f t="shared" si="16"/>
        <v>-9850</v>
      </c>
      <c r="I57" s="90">
        <f t="shared" si="16"/>
        <v>-9850</v>
      </c>
      <c r="J57" s="90">
        <f t="shared" si="16"/>
        <v>-1970</v>
      </c>
      <c r="K57" s="90">
        <f t="shared" si="16"/>
        <v>-9850</v>
      </c>
      <c r="L57" s="90">
        <f t="shared" si="16"/>
        <v>-3940</v>
      </c>
    </row>
    <row r="58" spans="2:12" x14ac:dyDescent="0.25">
      <c r="B58">
        <f t="shared" si="17"/>
        <v>16</v>
      </c>
      <c r="C58" s="90">
        <f t="shared" si="18"/>
        <v>-1968</v>
      </c>
      <c r="D58" s="90">
        <f t="shared" si="16"/>
        <v>-49200</v>
      </c>
      <c r="E58" s="90">
        <f t="shared" si="16"/>
        <v>-1968</v>
      </c>
      <c r="F58" s="90">
        <f t="shared" si="16"/>
        <v>-49200</v>
      </c>
      <c r="G58" s="90">
        <f t="shared" si="16"/>
        <v>-9840</v>
      </c>
      <c r="H58" s="90">
        <f t="shared" si="16"/>
        <v>-9840</v>
      </c>
      <c r="I58" s="90">
        <f t="shared" si="16"/>
        <v>-9840</v>
      </c>
      <c r="J58" s="90">
        <f t="shared" si="16"/>
        <v>-1968</v>
      </c>
      <c r="K58" s="90">
        <f t="shared" si="16"/>
        <v>-9840</v>
      </c>
      <c r="L58" s="90">
        <f t="shared" si="16"/>
        <v>-3936</v>
      </c>
    </row>
    <row r="59" spans="2:12" x14ac:dyDescent="0.25">
      <c r="B59">
        <f t="shared" si="17"/>
        <v>17</v>
      </c>
      <c r="C59" s="90">
        <f t="shared" si="18"/>
        <v>-1966</v>
      </c>
      <c r="D59" s="90">
        <f t="shared" si="18"/>
        <v>-49150</v>
      </c>
      <c r="E59" s="90">
        <f t="shared" si="18"/>
        <v>-1966</v>
      </c>
      <c r="F59" s="90">
        <f t="shared" si="18"/>
        <v>-49150</v>
      </c>
      <c r="G59" s="90">
        <f t="shared" si="18"/>
        <v>-9830</v>
      </c>
      <c r="H59" s="90">
        <f t="shared" si="18"/>
        <v>-9830</v>
      </c>
      <c r="I59" s="90">
        <f t="shared" si="18"/>
        <v>-9830</v>
      </c>
      <c r="J59" s="90">
        <f t="shared" si="18"/>
        <v>-1966</v>
      </c>
      <c r="K59" s="90">
        <f t="shared" si="18"/>
        <v>-9830</v>
      </c>
      <c r="L59" s="90">
        <f t="shared" si="18"/>
        <v>-3932</v>
      </c>
    </row>
    <row r="60" spans="2:12" x14ac:dyDescent="0.25">
      <c r="B60">
        <f t="shared" si="17"/>
        <v>18</v>
      </c>
      <c r="C60" s="90">
        <f t="shared" si="18"/>
        <v>-1964</v>
      </c>
      <c r="D60" s="90">
        <f t="shared" si="18"/>
        <v>-49100</v>
      </c>
      <c r="E60" s="90">
        <f t="shared" si="18"/>
        <v>-1964</v>
      </c>
      <c r="F60" s="90">
        <f t="shared" si="18"/>
        <v>-49100</v>
      </c>
      <c r="G60" s="90">
        <f t="shared" si="18"/>
        <v>-9820</v>
      </c>
      <c r="H60" s="90">
        <f t="shared" si="18"/>
        <v>-9820</v>
      </c>
      <c r="I60" s="90">
        <f t="shared" si="18"/>
        <v>-9820</v>
      </c>
      <c r="J60" s="90">
        <f t="shared" si="18"/>
        <v>-1964</v>
      </c>
      <c r="K60" s="90">
        <f t="shared" si="18"/>
        <v>-9820</v>
      </c>
      <c r="L60" s="90">
        <f t="shared" si="18"/>
        <v>-3928</v>
      </c>
    </row>
    <row r="61" spans="2:12" x14ac:dyDescent="0.25">
      <c r="B61">
        <f t="shared" si="17"/>
        <v>19</v>
      </c>
      <c r="C61" s="90">
        <f t="shared" si="18"/>
        <v>-1962</v>
      </c>
      <c r="D61" s="90">
        <f t="shared" si="18"/>
        <v>-49050</v>
      </c>
      <c r="E61" s="90">
        <f t="shared" si="18"/>
        <v>-1962</v>
      </c>
      <c r="F61" s="90">
        <f t="shared" si="18"/>
        <v>-49050</v>
      </c>
      <c r="G61" s="90">
        <f t="shared" si="18"/>
        <v>-9810</v>
      </c>
      <c r="H61" s="90">
        <f t="shared" si="18"/>
        <v>-9810</v>
      </c>
      <c r="I61" s="90">
        <f t="shared" si="18"/>
        <v>-9810</v>
      </c>
      <c r="J61" s="90">
        <f t="shared" si="18"/>
        <v>-1962</v>
      </c>
      <c r="K61" s="90">
        <f t="shared" si="18"/>
        <v>-9810</v>
      </c>
      <c r="L61" s="90">
        <f t="shared" si="18"/>
        <v>-3924</v>
      </c>
    </row>
    <row r="62" spans="2:12" x14ac:dyDescent="0.25">
      <c r="B62">
        <f t="shared" si="17"/>
        <v>20</v>
      </c>
      <c r="C62" s="90">
        <f t="shared" si="18"/>
        <v>-1960</v>
      </c>
      <c r="D62" s="90">
        <f t="shared" si="18"/>
        <v>-49000</v>
      </c>
      <c r="E62" s="90">
        <f t="shared" si="18"/>
        <v>-1960</v>
      </c>
      <c r="F62" s="90">
        <f t="shared" si="18"/>
        <v>-49000</v>
      </c>
      <c r="G62" s="90">
        <f t="shared" si="18"/>
        <v>-9800</v>
      </c>
      <c r="H62" s="90">
        <f t="shared" si="18"/>
        <v>-9800</v>
      </c>
      <c r="I62" s="90">
        <f t="shared" si="18"/>
        <v>-9800</v>
      </c>
      <c r="J62" s="90">
        <f t="shared" si="18"/>
        <v>-1960</v>
      </c>
      <c r="K62" s="90">
        <f t="shared" si="18"/>
        <v>-9800</v>
      </c>
      <c r="L62" s="90">
        <f t="shared" si="18"/>
        <v>-3920</v>
      </c>
    </row>
    <row r="63" spans="2:12" x14ac:dyDescent="0.25">
      <c r="B63">
        <f t="shared" si="17"/>
        <v>21</v>
      </c>
      <c r="C63" s="90">
        <f t="shared" si="18"/>
        <v>-1958</v>
      </c>
      <c r="D63" s="90">
        <f t="shared" si="18"/>
        <v>-48950</v>
      </c>
      <c r="E63" s="90">
        <f t="shared" si="18"/>
        <v>-1958</v>
      </c>
      <c r="F63" s="90">
        <f t="shared" si="18"/>
        <v>-48950</v>
      </c>
      <c r="G63" s="90">
        <f t="shared" si="18"/>
        <v>-9790</v>
      </c>
      <c r="H63" s="90">
        <f t="shared" si="18"/>
        <v>-9790</v>
      </c>
      <c r="I63" s="90">
        <f t="shared" si="18"/>
        <v>-9790</v>
      </c>
      <c r="J63" s="90">
        <f t="shared" si="18"/>
        <v>-1958</v>
      </c>
      <c r="K63" s="90">
        <f t="shared" si="18"/>
        <v>-9790</v>
      </c>
      <c r="L63" s="90">
        <f t="shared" si="18"/>
        <v>-3916</v>
      </c>
    </row>
    <row r="64" spans="2:12" x14ac:dyDescent="0.25">
      <c r="B64">
        <f t="shared" si="17"/>
        <v>22</v>
      </c>
      <c r="C64" s="90">
        <f t="shared" si="18"/>
        <v>-1956</v>
      </c>
      <c r="D64" s="90">
        <f t="shared" si="18"/>
        <v>-48900</v>
      </c>
      <c r="E64" s="90">
        <f t="shared" si="18"/>
        <v>-1956</v>
      </c>
      <c r="F64" s="90">
        <f t="shared" si="18"/>
        <v>-48900</v>
      </c>
      <c r="G64" s="90">
        <f t="shared" si="18"/>
        <v>-9780</v>
      </c>
      <c r="H64" s="90">
        <f t="shared" si="18"/>
        <v>-9780</v>
      </c>
      <c r="I64" s="90">
        <f t="shared" si="18"/>
        <v>-9780</v>
      </c>
      <c r="J64" s="90">
        <f t="shared" si="18"/>
        <v>-1956</v>
      </c>
      <c r="K64" s="90">
        <f t="shared" si="18"/>
        <v>-9780</v>
      </c>
      <c r="L64" s="90">
        <f t="shared" si="18"/>
        <v>-3912</v>
      </c>
    </row>
    <row r="65" spans="2:12" x14ac:dyDescent="0.25">
      <c r="B65">
        <f t="shared" si="17"/>
        <v>23</v>
      </c>
      <c r="C65" s="90">
        <f t="shared" si="18"/>
        <v>-1954</v>
      </c>
      <c r="D65" s="90">
        <f t="shared" si="18"/>
        <v>-48850</v>
      </c>
      <c r="E65" s="90">
        <f t="shared" si="18"/>
        <v>-1954</v>
      </c>
      <c r="F65" s="90">
        <f t="shared" si="18"/>
        <v>-48850</v>
      </c>
      <c r="G65" s="90">
        <f t="shared" si="18"/>
        <v>-9770</v>
      </c>
      <c r="H65" s="90">
        <f t="shared" si="18"/>
        <v>-9770</v>
      </c>
      <c r="I65" s="90">
        <f t="shared" si="18"/>
        <v>-9770</v>
      </c>
      <c r="J65" s="90">
        <f t="shared" si="18"/>
        <v>-1954</v>
      </c>
      <c r="K65" s="90">
        <f t="shared" si="18"/>
        <v>-9770</v>
      </c>
      <c r="L65" s="90">
        <f t="shared" si="18"/>
        <v>-3908</v>
      </c>
    </row>
    <row r="66" spans="2:12" x14ac:dyDescent="0.25">
      <c r="B66">
        <f t="shared" si="17"/>
        <v>24</v>
      </c>
      <c r="C66" s="90">
        <f t="shared" si="18"/>
        <v>-1952</v>
      </c>
      <c r="D66" s="90">
        <f t="shared" si="18"/>
        <v>-48800</v>
      </c>
      <c r="E66" s="90">
        <f t="shared" si="18"/>
        <v>-1952</v>
      </c>
      <c r="F66" s="90">
        <f t="shared" si="18"/>
        <v>-48800</v>
      </c>
      <c r="G66" s="90">
        <f t="shared" si="18"/>
        <v>-9760</v>
      </c>
      <c r="H66" s="90">
        <f t="shared" si="18"/>
        <v>-9760</v>
      </c>
      <c r="I66" s="90">
        <f t="shared" si="18"/>
        <v>-9760</v>
      </c>
      <c r="J66" s="90">
        <f t="shared" si="18"/>
        <v>-1952</v>
      </c>
      <c r="K66" s="90">
        <f t="shared" si="18"/>
        <v>-9760</v>
      </c>
      <c r="L66" s="90">
        <f t="shared" si="18"/>
        <v>-3904</v>
      </c>
    </row>
    <row r="67" spans="2:12" x14ac:dyDescent="0.25">
      <c r="B67">
        <f t="shared" si="17"/>
        <v>25</v>
      </c>
      <c r="C67" s="90">
        <f t="shared" si="18"/>
        <v>-1950</v>
      </c>
      <c r="D67" s="90">
        <f t="shared" si="18"/>
        <v>-48750</v>
      </c>
      <c r="E67" s="90">
        <f t="shared" si="18"/>
        <v>-1950</v>
      </c>
      <c r="F67" s="90">
        <f t="shared" si="18"/>
        <v>-48750</v>
      </c>
      <c r="G67" s="90">
        <f t="shared" si="18"/>
        <v>-9750</v>
      </c>
      <c r="H67" s="90">
        <f t="shared" si="18"/>
        <v>-9750</v>
      </c>
      <c r="I67" s="90">
        <f t="shared" si="18"/>
        <v>-9750</v>
      </c>
      <c r="J67" s="90">
        <f t="shared" si="18"/>
        <v>-1950</v>
      </c>
      <c r="K67" s="90">
        <f t="shared" si="18"/>
        <v>-9750</v>
      </c>
      <c r="L67" s="90">
        <f t="shared" si="18"/>
        <v>-3900</v>
      </c>
    </row>
    <row r="68" spans="2:12" x14ac:dyDescent="0.25">
      <c r="B68">
        <f t="shared" si="17"/>
        <v>26</v>
      </c>
      <c r="C68" s="90">
        <f t="shared" si="18"/>
        <v>-1948</v>
      </c>
      <c r="D68" s="90">
        <f t="shared" si="18"/>
        <v>-48700</v>
      </c>
      <c r="E68" s="90">
        <f t="shared" si="18"/>
        <v>-1948</v>
      </c>
      <c r="F68" s="90">
        <f t="shared" si="18"/>
        <v>-48700</v>
      </c>
      <c r="G68" s="90">
        <f t="shared" si="18"/>
        <v>-9740</v>
      </c>
      <c r="H68" s="90">
        <f t="shared" si="18"/>
        <v>-9740</v>
      </c>
      <c r="I68" s="90">
        <f t="shared" si="18"/>
        <v>-9740</v>
      </c>
      <c r="J68" s="90">
        <f t="shared" si="18"/>
        <v>-1948</v>
      </c>
      <c r="K68" s="90">
        <f t="shared" si="18"/>
        <v>-9740</v>
      </c>
      <c r="L68" s="90">
        <f t="shared" si="18"/>
        <v>-3896</v>
      </c>
    </row>
    <row r="69" spans="2:12" x14ac:dyDescent="0.25">
      <c r="B69">
        <f t="shared" si="17"/>
        <v>27</v>
      </c>
      <c r="C69" s="90">
        <f t="shared" si="18"/>
        <v>-1946</v>
      </c>
      <c r="D69" s="90">
        <f t="shared" si="18"/>
        <v>-48650</v>
      </c>
      <c r="E69" s="90">
        <f t="shared" si="18"/>
        <v>-1946</v>
      </c>
      <c r="F69" s="90">
        <f t="shared" si="18"/>
        <v>-48650</v>
      </c>
      <c r="G69" s="90">
        <f t="shared" si="18"/>
        <v>-9730</v>
      </c>
      <c r="H69" s="90">
        <f t="shared" si="18"/>
        <v>-9730</v>
      </c>
      <c r="I69" s="90">
        <f t="shared" si="18"/>
        <v>-9730</v>
      </c>
      <c r="J69" s="90">
        <f t="shared" si="18"/>
        <v>-1946</v>
      </c>
      <c r="K69" s="90">
        <f t="shared" si="18"/>
        <v>-9730</v>
      </c>
      <c r="L69" s="90">
        <f t="shared" si="18"/>
        <v>-3892</v>
      </c>
    </row>
    <row r="70" spans="2:12" x14ac:dyDescent="0.25">
      <c r="B70">
        <f t="shared" si="17"/>
        <v>28</v>
      </c>
      <c r="C70" s="90">
        <f t="shared" si="18"/>
        <v>-1944</v>
      </c>
      <c r="D70" s="90">
        <f t="shared" si="18"/>
        <v>-48600</v>
      </c>
      <c r="E70" s="90">
        <f t="shared" si="18"/>
        <v>-1944</v>
      </c>
      <c r="F70" s="90">
        <f t="shared" si="18"/>
        <v>-48600</v>
      </c>
      <c r="G70" s="90">
        <f t="shared" si="18"/>
        <v>-9720</v>
      </c>
      <c r="H70" s="90">
        <f t="shared" si="18"/>
        <v>-9720</v>
      </c>
      <c r="I70" s="90">
        <f t="shared" si="18"/>
        <v>-9720</v>
      </c>
      <c r="J70" s="90">
        <f t="shared" si="18"/>
        <v>-1944</v>
      </c>
      <c r="K70" s="90">
        <f t="shared" si="18"/>
        <v>-9720</v>
      </c>
      <c r="L70" s="90">
        <f t="shared" si="18"/>
        <v>-3888</v>
      </c>
    </row>
    <row r="71" spans="2:12" x14ac:dyDescent="0.25">
      <c r="B71">
        <f t="shared" si="17"/>
        <v>29</v>
      </c>
      <c r="C71" s="90">
        <f t="shared" si="18"/>
        <v>-1942</v>
      </c>
      <c r="D71" s="90">
        <f t="shared" si="18"/>
        <v>-48550</v>
      </c>
      <c r="E71" s="90">
        <f t="shared" si="18"/>
        <v>-1942</v>
      </c>
      <c r="F71" s="90">
        <f t="shared" si="18"/>
        <v>-48550</v>
      </c>
      <c r="G71" s="90">
        <f t="shared" si="18"/>
        <v>-9710</v>
      </c>
      <c r="H71" s="90">
        <f t="shared" si="18"/>
        <v>-9710</v>
      </c>
      <c r="I71" s="90">
        <f t="shared" si="18"/>
        <v>-9710</v>
      </c>
      <c r="J71" s="90">
        <f t="shared" si="18"/>
        <v>-1942</v>
      </c>
      <c r="K71" s="90">
        <f t="shared" si="18"/>
        <v>-9710</v>
      </c>
      <c r="L71" s="90">
        <f t="shared" si="18"/>
        <v>-3884</v>
      </c>
    </row>
    <row r="72" spans="2:12" x14ac:dyDescent="0.25">
      <c r="B72">
        <f t="shared" si="17"/>
        <v>30</v>
      </c>
      <c r="C72" s="90">
        <f t="shared" si="18"/>
        <v>-1940</v>
      </c>
      <c r="D72" s="90">
        <f t="shared" si="18"/>
        <v>-48500</v>
      </c>
      <c r="E72" s="90">
        <f t="shared" si="18"/>
        <v>-1940</v>
      </c>
      <c r="F72" s="90">
        <f t="shared" si="18"/>
        <v>-48500</v>
      </c>
      <c r="G72" s="90">
        <f t="shared" si="18"/>
        <v>-9700</v>
      </c>
      <c r="H72" s="90">
        <f t="shared" si="18"/>
        <v>-9700</v>
      </c>
      <c r="I72" s="90">
        <f t="shared" si="18"/>
        <v>-9700</v>
      </c>
      <c r="J72" s="90">
        <f t="shared" si="18"/>
        <v>-1940</v>
      </c>
      <c r="K72" s="90">
        <f t="shared" si="18"/>
        <v>-9700</v>
      </c>
      <c r="L72" s="90">
        <f t="shared" si="18"/>
        <v>-3880</v>
      </c>
    </row>
    <row r="73" spans="2:12" x14ac:dyDescent="0.25">
      <c r="B73">
        <f t="shared" si="17"/>
        <v>31</v>
      </c>
      <c r="C73" s="90">
        <f t="shared" si="18"/>
        <v>-1938</v>
      </c>
      <c r="D73" s="90">
        <f t="shared" si="18"/>
        <v>-48450</v>
      </c>
      <c r="E73" s="90">
        <f t="shared" si="18"/>
        <v>-1938</v>
      </c>
      <c r="F73" s="90">
        <f t="shared" si="18"/>
        <v>-48450</v>
      </c>
      <c r="G73" s="90">
        <f t="shared" si="18"/>
        <v>-9690</v>
      </c>
      <c r="H73" s="90">
        <f t="shared" si="18"/>
        <v>-9690</v>
      </c>
      <c r="I73" s="90">
        <f t="shared" si="18"/>
        <v>-9690</v>
      </c>
      <c r="J73" s="90">
        <f t="shared" si="18"/>
        <v>-1938</v>
      </c>
      <c r="K73" s="90">
        <f t="shared" si="18"/>
        <v>-9690</v>
      </c>
      <c r="L73" s="90">
        <f t="shared" si="18"/>
        <v>-3876</v>
      </c>
    </row>
    <row r="74" spans="2:12" x14ac:dyDescent="0.25">
      <c r="B74">
        <f t="shared" si="17"/>
        <v>32</v>
      </c>
      <c r="C74" s="90">
        <f t="shared" si="18"/>
        <v>-1936</v>
      </c>
      <c r="D74" s="90">
        <f t="shared" si="18"/>
        <v>-48400</v>
      </c>
      <c r="E74" s="90">
        <f t="shared" si="18"/>
        <v>-1936</v>
      </c>
      <c r="F74" s="90">
        <f t="shared" si="18"/>
        <v>-48400</v>
      </c>
      <c r="G74" s="90">
        <f t="shared" si="18"/>
        <v>-9680</v>
      </c>
      <c r="H74" s="90">
        <f t="shared" si="18"/>
        <v>-9680</v>
      </c>
      <c r="I74" s="90">
        <f t="shared" si="18"/>
        <v>-9680</v>
      </c>
      <c r="J74" s="90">
        <f t="shared" si="18"/>
        <v>-1936</v>
      </c>
      <c r="K74" s="90">
        <f t="shared" si="18"/>
        <v>-9680</v>
      </c>
      <c r="L74" s="90">
        <f t="shared" si="18"/>
        <v>-3872</v>
      </c>
    </row>
    <row r="75" spans="2:12" x14ac:dyDescent="0.25">
      <c r="B75">
        <f t="shared" si="17"/>
        <v>33</v>
      </c>
      <c r="C75" s="90">
        <f t="shared" si="18"/>
        <v>-1934</v>
      </c>
      <c r="D75" s="90">
        <f t="shared" si="18"/>
        <v>-48350</v>
      </c>
      <c r="E75" s="90">
        <f t="shared" si="18"/>
        <v>-1934</v>
      </c>
      <c r="F75" s="90">
        <f t="shared" si="18"/>
        <v>-48350</v>
      </c>
      <c r="G75" s="90">
        <f t="shared" si="18"/>
        <v>-9670</v>
      </c>
      <c r="H75" s="90">
        <f t="shared" si="18"/>
        <v>-9670</v>
      </c>
      <c r="I75" s="90">
        <f t="shared" si="18"/>
        <v>-9670</v>
      </c>
      <c r="J75" s="90">
        <f t="shared" si="18"/>
        <v>-1934</v>
      </c>
      <c r="K75" s="90">
        <f t="shared" si="18"/>
        <v>-9670</v>
      </c>
      <c r="L75" s="90">
        <f t="shared" si="18"/>
        <v>-3868</v>
      </c>
    </row>
    <row r="76" spans="2:12" x14ac:dyDescent="0.25">
      <c r="B76">
        <f t="shared" si="17"/>
        <v>34</v>
      </c>
      <c r="C76" s="90">
        <f t="shared" si="18"/>
        <v>-1932</v>
      </c>
      <c r="D76" s="90">
        <f t="shared" si="18"/>
        <v>-48300</v>
      </c>
      <c r="E76" s="90">
        <f t="shared" si="18"/>
        <v>-1932</v>
      </c>
      <c r="F76" s="90">
        <f t="shared" si="18"/>
        <v>-48300</v>
      </c>
      <c r="G76" s="90">
        <f t="shared" si="18"/>
        <v>-9660</v>
      </c>
      <c r="H76" s="90">
        <f t="shared" si="18"/>
        <v>-9660</v>
      </c>
      <c r="I76" s="90">
        <f t="shared" si="18"/>
        <v>-9660</v>
      </c>
      <c r="J76" s="90">
        <f t="shared" si="18"/>
        <v>-1932</v>
      </c>
      <c r="K76" s="90">
        <f t="shared" si="18"/>
        <v>-9660</v>
      </c>
      <c r="L76" s="90">
        <f t="shared" si="18"/>
        <v>-3864</v>
      </c>
    </row>
    <row r="77" spans="2:12" x14ac:dyDescent="0.25">
      <c r="B77">
        <f t="shared" si="17"/>
        <v>35</v>
      </c>
      <c r="C77" s="90">
        <f t="shared" si="18"/>
        <v>-1930</v>
      </c>
      <c r="D77" s="90">
        <f t="shared" si="18"/>
        <v>-48250</v>
      </c>
      <c r="E77" s="90">
        <f t="shared" si="18"/>
        <v>-1930</v>
      </c>
      <c r="F77" s="90">
        <f t="shared" si="18"/>
        <v>-48250</v>
      </c>
      <c r="G77" s="90">
        <f t="shared" si="18"/>
        <v>-9650</v>
      </c>
      <c r="H77" s="90">
        <f t="shared" si="18"/>
        <v>-9650</v>
      </c>
      <c r="I77" s="90">
        <f t="shared" si="18"/>
        <v>-9650</v>
      </c>
      <c r="J77" s="90">
        <f t="shared" si="18"/>
        <v>-1930</v>
      </c>
      <c r="K77" s="90">
        <f t="shared" si="18"/>
        <v>-9650</v>
      </c>
      <c r="L77" s="90">
        <f t="shared" si="18"/>
        <v>-3860</v>
      </c>
    </row>
    <row r="78" spans="2:12" x14ac:dyDescent="0.25">
      <c r="B78">
        <f t="shared" si="17"/>
        <v>36</v>
      </c>
      <c r="C78" s="90">
        <f t="shared" si="18"/>
        <v>-1928</v>
      </c>
      <c r="D78" s="90">
        <f t="shared" si="18"/>
        <v>-48200</v>
      </c>
      <c r="E78" s="90">
        <f t="shared" si="18"/>
        <v>-1928</v>
      </c>
      <c r="F78" s="90">
        <f t="shared" si="18"/>
        <v>-48200</v>
      </c>
      <c r="G78" s="90">
        <f t="shared" si="18"/>
        <v>-9640</v>
      </c>
      <c r="H78" s="90">
        <f t="shared" si="18"/>
        <v>-9640</v>
      </c>
      <c r="I78" s="90">
        <f t="shared" si="18"/>
        <v>-9640</v>
      </c>
      <c r="J78" s="90">
        <f t="shared" si="18"/>
        <v>-1928</v>
      </c>
      <c r="K78" s="90">
        <f t="shared" si="18"/>
        <v>-9640</v>
      </c>
      <c r="L78" s="90">
        <f t="shared" si="18"/>
        <v>-3856</v>
      </c>
    </row>
    <row r="79" spans="2:12" x14ac:dyDescent="0.25">
      <c r="B79">
        <f t="shared" si="17"/>
        <v>37</v>
      </c>
      <c r="C79" s="90">
        <f t="shared" si="18"/>
        <v>-1926</v>
      </c>
      <c r="D79" s="90">
        <f t="shared" si="18"/>
        <v>-48150</v>
      </c>
      <c r="E79" s="90">
        <f t="shared" si="18"/>
        <v>-1926</v>
      </c>
      <c r="F79" s="90">
        <f t="shared" si="18"/>
        <v>-48150</v>
      </c>
      <c r="G79" s="90">
        <f t="shared" si="18"/>
        <v>-9630</v>
      </c>
      <c r="H79" s="90">
        <f t="shared" si="18"/>
        <v>-9630</v>
      </c>
      <c r="I79" s="90">
        <f t="shared" si="18"/>
        <v>-9630</v>
      </c>
      <c r="J79" s="90">
        <f t="shared" si="18"/>
        <v>-1926</v>
      </c>
      <c r="K79" s="90">
        <f t="shared" si="18"/>
        <v>-9630</v>
      </c>
      <c r="L79" s="90">
        <f t="shared" si="18"/>
        <v>-3852</v>
      </c>
    </row>
    <row r="80" spans="2:12" x14ac:dyDescent="0.25">
      <c r="B80">
        <f t="shared" si="17"/>
        <v>38</v>
      </c>
      <c r="C80" s="90">
        <f t="shared" si="18"/>
        <v>-1924</v>
      </c>
      <c r="D80" s="90">
        <f t="shared" si="18"/>
        <v>-48100</v>
      </c>
      <c r="E80" s="90">
        <f t="shared" si="18"/>
        <v>-1924</v>
      </c>
      <c r="F80" s="90">
        <f t="shared" si="18"/>
        <v>-48100</v>
      </c>
      <c r="G80" s="90">
        <f t="shared" si="18"/>
        <v>-9620</v>
      </c>
      <c r="H80" s="90">
        <f t="shared" si="18"/>
        <v>-9620</v>
      </c>
      <c r="I80" s="90">
        <f t="shared" si="18"/>
        <v>-9620</v>
      </c>
      <c r="J80" s="90">
        <f t="shared" si="18"/>
        <v>-1924</v>
      </c>
      <c r="K80" s="90">
        <f t="shared" si="18"/>
        <v>-9620</v>
      </c>
      <c r="L80" s="90">
        <f t="shared" si="18"/>
        <v>-3848</v>
      </c>
    </row>
    <row r="81" spans="2:12" x14ac:dyDescent="0.25">
      <c r="B81">
        <f t="shared" si="17"/>
        <v>39</v>
      </c>
      <c r="C81" s="90">
        <f t="shared" si="18"/>
        <v>-1922</v>
      </c>
      <c r="D81" s="90">
        <f t="shared" si="18"/>
        <v>-48050</v>
      </c>
      <c r="E81" s="90">
        <f t="shared" si="18"/>
        <v>-1922</v>
      </c>
      <c r="F81" s="90">
        <f t="shared" si="18"/>
        <v>-48050</v>
      </c>
      <c r="G81" s="90">
        <f t="shared" si="18"/>
        <v>-9610</v>
      </c>
      <c r="H81" s="90">
        <f t="shared" si="18"/>
        <v>-9610</v>
      </c>
      <c r="I81" s="90">
        <f t="shared" si="18"/>
        <v>-9610</v>
      </c>
      <c r="J81" s="90">
        <f t="shared" si="18"/>
        <v>-1922</v>
      </c>
      <c r="K81" s="90">
        <f t="shared" si="18"/>
        <v>-9610</v>
      </c>
      <c r="L81" s="90">
        <f t="shared" si="18"/>
        <v>-3844</v>
      </c>
    </row>
    <row r="82" spans="2:12" x14ac:dyDescent="0.25">
      <c r="B82">
        <f t="shared" si="17"/>
        <v>40</v>
      </c>
      <c r="C82" s="90">
        <f t="shared" si="18"/>
        <v>-1920</v>
      </c>
      <c r="D82" s="90">
        <f t="shared" si="18"/>
        <v>-48000</v>
      </c>
      <c r="E82" s="90">
        <f t="shared" si="18"/>
        <v>-1920</v>
      </c>
      <c r="F82" s="90">
        <f t="shared" si="18"/>
        <v>-48000</v>
      </c>
      <c r="G82" s="90">
        <f t="shared" si="18"/>
        <v>-9600</v>
      </c>
      <c r="H82" s="90">
        <f t="shared" si="18"/>
        <v>-9600</v>
      </c>
      <c r="I82" s="90">
        <f t="shared" si="18"/>
        <v>-9600</v>
      </c>
      <c r="J82" s="90">
        <f t="shared" si="18"/>
        <v>-1920</v>
      </c>
      <c r="K82" s="90">
        <f t="shared" si="18"/>
        <v>-9600</v>
      </c>
      <c r="L82" s="90">
        <f t="shared" si="18"/>
        <v>-3840</v>
      </c>
    </row>
    <row r="83" spans="2:12" x14ac:dyDescent="0.25">
      <c r="B83">
        <f t="shared" si="17"/>
        <v>41</v>
      </c>
      <c r="C83" s="90">
        <f t="shared" ref="C83:L108" si="19">C82+C$40</f>
        <v>-1918</v>
      </c>
      <c r="D83" s="90">
        <f t="shared" si="19"/>
        <v>-47950</v>
      </c>
      <c r="E83" s="90">
        <f t="shared" si="19"/>
        <v>-1918</v>
      </c>
      <c r="F83" s="90">
        <f t="shared" si="19"/>
        <v>-47950</v>
      </c>
      <c r="G83" s="90">
        <f t="shared" si="19"/>
        <v>-9590</v>
      </c>
      <c r="H83" s="90">
        <f t="shared" si="19"/>
        <v>-9590</v>
      </c>
      <c r="I83" s="90">
        <f t="shared" si="19"/>
        <v>-9590</v>
      </c>
      <c r="J83" s="90">
        <f t="shared" si="19"/>
        <v>-1918</v>
      </c>
      <c r="K83" s="90">
        <f t="shared" si="19"/>
        <v>-9590</v>
      </c>
      <c r="L83" s="90">
        <f t="shared" si="19"/>
        <v>-3836</v>
      </c>
    </row>
    <row r="84" spans="2:12" x14ac:dyDescent="0.25">
      <c r="B84">
        <f t="shared" si="17"/>
        <v>42</v>
      </c>
      <c r="C84" s="90">
        <f t="shared" si="19"/>
        <v>-1916</v>
      </c>
      <c r="D84" s="90">
        <f t="shared" si="19"/>
        <v>-47900</v>
      </c>
      <c r="E84" s="90">
        <f t="shared" si="19"/>
        <v>-1916</v>
      </c>
      <c r="F84" s="90">
        <f t="shared" si="19"/>
        <v>-47900</v>
      </c>
      <c r="G84" s="90">
        <f t="shared" si="19"/>
        <v>-9580</v>
      </c>
      <c r="H84" s="90">
        <f t="shared" si="19"/>
        <v>-9580</v>
      </c>
      <c r="I84" s="90">
        <f t="shared" si="19"/>
        <v>-9580</v>
      </c>
      <c r="J84" s="90">
        <f t="shared" si="19"/>
        <v>-1916</v>
      </c>
      <c r="K84" s="90">
        <f t="shared" si="19"/>
        <v>-9580</v>
      </c>
      <c r="L84" s="90">
        <f t="shared" si="19"/>
        <v>-3832</v>
      </c>
    </row>
    <row r="85" spans="2:12" x14ac:dyDescent="0.25">
      <c r="B85">
        <f t="shared" si="17"/>
        <v>43</v>
      </c>
      <c r="C85" s="90">
        <f t="shared" si="19"/>
        <v>-1914</v>
      </c>
      <c r="D85" s="90">
        <f t="shared" si="19"/>
        <v>-47850</v>
      </c>
      <c r="E85" s="90">
        <f t="shared" si="19"/>
        <v>-1914</v>
      </c>
      <c r="F85" s="90">
        <f t="shared" si="19"/>
        <v>-47850</v>
      </c>
      <c r="G85" s="90">
        <f t="shared" si="19"/>
        <v>-9570</v>
      </c>
      <c r="H85" s="90">
        <f t="shared" si="19"/>
        <v>-9570</v>
      </c>
      <c r="I85" s="90">
        <f t="shared" si="19"/>
        <v>-9570</v>
      </c>
      <c r="J85" s="90">
        <f t="shared" si="19"/>
        <v>-1914</v>
      </c>
      <c r="K85" s="90">
        <f t="shared" si="19"/>
        <v>-9570</v>
      </c>
      <c r="L85" s="90">
        <f t="shared" si="19"/>
        <v>-3828</v>
      </c>
    </row>
    <row r="86" spans="2:12" x14ac:dyDescent="0.25">
      <c r="B86">
        <f t="shared" si="17"/>
        <v>44</v>
      </c>
      <c r="C86" s="90">
        <f t="shared" si="19"/>
        <v>-1912</v>
      </c>
      <c r="D86" s="90">
        <f t="shared" si="19"/>
        <v>-47800</v>
      </c>
      <c r="E86" s="90">
        <f t="shared" si="19"/>
        <v>-1912</v>
      </c>
      <c r="F86" s="90">
        <f t="shared" si="19"/>
        <v>-47800</v>
      </c>
      <c r="G86" s="90">
        <f t="shared" si="19"/>
        <v>-9560</v>
      </c>
      <c r="H86" s="90">
        <f t="shared" si="19"/>
        <v>-9560</v>
      </c>
      <c r="I86" s="90">
        <f t="shared" si="19"/>
        <v>-9560</v>
      </c>
      <c r="J86" s="90">
        <f t="shared" si="19"/>
        <v>-1912</v>
      </c>
      <c r="K86" s="90">
        <f t="shared" si="19"/>
        <v>-9560</v>
      </c>
      <c r="L86" s="90">
        <f t="shared" si="19"/>
        <v>-3824</v>
      </c>
    </row>
    <row r="87" spans="2:12" x14ac:dyDescent="0.25">
      <c r="B87">
        <f t="shared" si="17"/>
        <v>45</v>
      </c>
      <c r="C87" s="90">
        <f t="shared" si="19"/>
        <v>-1910</v>
      </c>
      <c r="D87" s="90">
        <f t="shared" si="19"/>
        <v>-47750</v>
      </c>
      <c r="E87" s="90">
        <f t="shared" si="19"/>
        <v>-1910</v>
      </c>
      <c r="F87" s="90">
        <f t="shared" si="19"/>
        <v>-47750</v>
      </c>
      <c r="G87" s="90">
        <f t="shared" si="19"/>
        <v>-9550</v>
      </c>
      <c r="H87" s="90">
        <f t="shared" si="19"/>
        <v>-9550</v>
      </c>
      <c r="I87" s="90">
        <f t="shared" si="19"/>
        <v>-9550</v>
      </c>
      <c r="J87" s="90">
        <f t="shared" si="19"/>
        <v>-1910</v>
      </c>
      <c r="K87" s="90">
        <f t="shared" si="19"/>
        <v>-9550</v>
      </c>
      <c r="L87" s="90">
        <f t="shared" si="19"/>
        <v>-3820</v>
      </c>
    </row>
    <row r="88" spans="2:12" x14ac:dyDescent="0.25">
      <c r="B88">
        <f t="shared" si="17"/>
        <v>46</v>
      </c>
      <c r="C88" s="90">
        <f t="shared" si="19"/>
        <v>-1908</v>
      </c>
      <c r="D88" s="90">
        <f t="shared" si="19"/>
        <v>-47700</v>
      </c>
      <c r="E88" s="90">
        <f t="shared" si="19"/>
        <v>-1908</v>
      </c>
      <c r="F88" s="90">
        <f t="shared" si="19"/>
        <v>-47700</v>
      </c>
      <c r="G88" s="90">
        <f t="shared" si="19"/>
        <v>-9540</v>
      </c>
      <c r="H88" s="90">
        <f t="shared" si="19"/>
        <v>-9540</v>
      </c>
      <c r="I88" s="90">
        <f t="shared" si="19"/>
        <v>-9540</v>
      </c>
      <c r="J88" s="90">
        <f t="shared" si="19"/>
        <v>-1908</v>
      </c>
      <c r="K88" s="90">
        <f t="shared" si="19"/>
        <v>-9540</v>
      </c>
      <c r="L88" s="90">
        <f t="shared" si="19"/>
        <v>-3816</v>
      </c>
    </row>
    <row r="89" spans="2:12" x14ac:dyDescent="0.25">
      <c r="B89">
        <f t="shared" si="17"/>
        <v>47</v>
      </c>
      <c r="C89" s="90">
        <f t="shared" si="19"/>
        <v>-1906</v>
      </c>
      <c r="D89" s="90">
        <f t="shared" si="19"/>
        <v>-47650</v>
      </c>
      <c r="E89" s="90">
        <f t="shared" si="19"/>
        <v>-1906</v>
      </c>
      <c r="F89" s="90">
        <f t="shared" si="19"/>
        <v>-47650</v>
      </c>
      <c r="G89" s="90">
        <f t="shared" si="19"/>
        <v>-9530</v>
      </c>
      <c r="H89" s="90">
        <f t="shared" si="19"/>
        <v>-9530</v>
      </c>
      <c r="I89" s="90">
        <f t="shared" si="19"/>
        <v>-9530</v>
      </c>
      <c r="J89" s="90">
        <f t="shared" si="19"/>
        <v>-1906</v>
      </c>
      <c r="K89" s="90">
        <f t="shared" si="19"/>
        <v>-9530</v>
      </c>
      <c r="L89" s="90">
        <f t="shared" si="19"/>
        <v>-3812</v>
      </c>
    </row>
    <row r="90" spans="2:12" x14ac:dyDescent="0.25">
      <c r="B90">
        <f t="shared" si="17"/>
        <v>48</v>
      </c>
      <c r="C90" s="90">
        <f t="shared" si="19"/>
        <v>-1904</v>
      </c>
      <c r="D90" s="90">
        <f t="shared" si="19"/>
        <v>-47600</v>
      </c>
      <c r="E90" s="90">
        <f t="shared" si="19"/>
        <v>-1904</v>
      </c>
      <c r="F90" s="90">
        <f t="shared" si="19"/>
        <v>-47600</v>
      </c>
      <c r="G90" s="90">
        <f t="shared" si="19"/>
        <v>-9520</v>
      </c>
      <c r="H90" s="90">
        <f t="shared" si="19"/>
        <v>-9520</v>
      </c>
      <c r="I90" s="90">
        <f t="shared" si="19"/>
        <v>-9520</v>
      </c>
      <c r="J90" s="90">
        <f t="shared" si="19"/>
        <v>-1904</v>
      </c>
      <c r="K90" s="90">
        <f t="shared" si="19"/>
        <v>-9520</v>
      </c>
      <c r="L90" s="90">
        <f t="shared" si="19"/>
        <v>-3808</v>
      </c>
    </row>
    <row r="91" spans="2:12" x14ac:dyDescent="0.25">
      <c r="B91">
        <f t="shared" si="17"/>
        <v>49</v>
      </c>
      <c r="C91" s="90">
        <f t="shared" si="19"/>
        <v>-1902</v>
      </c>
      <c r="D91" s="90">
        <f t="shared" si="19"/>
        <v>-47550</v>
      </c>
      <c r="E91" s="90">
        <f t="shared" si="19"/>
        <v>-1902</v>
      </c>
      <c r="F91" s="90">
        <f t="shared" si="19"/>
        <v>-47550</v>
      </c>
      <c r="G91" s="90">
        <f t="shared" si="19"/>
        <v>-9510</v>
      </c>
      <c r="H91" s="90">
        <f t="shared" si="19"/>
        <v>-9510</v>
      </c>
      <c r="I91" s="90">
        <f t="shared" si="19"/>
        <v>-9510</v>
      </c>
      <c r="J91" s="90">
        <f t="shared" si="19"/>
        <v>-1902</v>
      </c>
      <c r="K91" s="90">
        <f t="shared" si="19"/>
        <v>-9510</v>
      </c>
      <c r="L91" s="90">
        <f t="shared" si="19"/>
        <v>-3804</v>
      </c>
    </row>
    <row r="92" spans="2:12" x14ac:dyDescent="0.25">
      <c r="B92">
        <f t="shared" si="17"/>
        <v>50</v>
      </c>
      <c r="C92" s="90">
        <f t="shared" si="19"/>
        <v>-1900</v>
      </c>
      <c r="D92" s="90">
        <f t="shared" si="19"/>
        <v>-47500</v>
      </c>
      <c r="E92" s="90">
        <f t="shared" si="19"/>
        <v>-1900</v>
      </c>
      <c r="F92" s="90">
        <f t="shared" si="19"/>
        <v>-47500</v>
      </c>
      <c r="G92" s="90">
        <f t="shared" si="19"/>
        <v>-9500</v>
      </c>
      <c r="H92" s="90">
        <f t="shared" si="19"/>
        <v>-9500</v>
      </c>
      <c r="I92" s="90">
        <f t="shared" si="19"/>
        <v>-9500</v>
      </c>
      <c r="J92" s="90">
        <f t="shared" si="19"/>
        <v>-1900</v>
      </c>
      <c r="K92" s="90">
        <f t="shared" si="19"/>
        <v>-9500</v>
      </c>
      <c r="L92" s="90">
        <f t="shared" si="19"/>
        <v>-3800</v>
      </c>
    </row>
    <row r="93" spans="2:12" x14ac:dyDescent="0.25">
      <c r="B93">
        <f t="shared" si="17"/>
        <v>51</v>
      </c>
      <c r="C93" s="90">
        <f t="shared" si="19"/>
        <v>-1898</v>
      </c>
      <c r="D93" s="90">
        <f t="shared" si="19"/>
        <v>-47450</v>
      </c>
      <c r="E93" s="90">
        <f t="shared" si="19"/>
        <v>-1898</v>
      </c>
      <c r="F93" s="90">
        <f t="shared" si="19"/>
        <v>-47450</v>
      </c>
      <c r="G93" s="90">
        <f t="shared" si="19"/>
        <v>-9490</v>
      </c>
      <c r="H93" s="90">
        <f t="shared" si="19"/>
        <v>-9490</v>
      </c>
      <c r="I93" s="90">
        <f t="shared" si="19"/>
        <v>-9490</v>
      </c>
      <c r="J93" s="90">
        <f t="shared" si="19"/>
        <v>-1898</v>
      </c>
      <c r="K93" s="90">
        <f t="shared" si="19"/>
        <v>-9490</v>
      </c>
      <c r="L93" s="90">
        <f t="shared" si="19"/>
        <v>-3796</v>
      </c>
    </row>
    <row r="94" spans="2:12" x14ac:dyDescent="0.25">
      <c r="B94">
        <f t="shared" si="17"/>
        <v>52</v>
      </c>
      <c r="C94" s="90">
        <f t="shared" si="19"/>
        <v>-1896</v>
      </c>
      <c r="D94" s="90">
        <f t="shared" si="19"/>
        <v>-47400</v>
      </c>
      <c r="E94" s="90">
        <f t="shared" si="19"/>
        <v>-1896</v>
      </c>
      <c r="F94" s="90">
        <f t="shared" si="19"/>
        <v>-47400</v>
      </c>
      <c r="G94" s="90">
        <f t="shared" si="19"/>
        <v>-9480</v>
      </c>
      <c r="H94" s="90">
        <f t="shared" si="19"/>
        <v>-9480</v>
      </c>
      <c r="I94" s="90">
        <f t="shared" si="19"/>
        <v>-9480</v>
      </c>
      <c r="J94" s="90">
        <f t="shared" si="19"/>
        <v>-1896</v>
      </c>
      <c r="K94" s="90">
        <f t="shared" si="19"/>
        <v>-9480</v>
      </c>
      <c r="L94" s="90">
        <f t="shared" si="19"/>
        <v>-3792</v>
      </c>
    </row>
    <row r="95" spans="2:12" x14ac:dyDescent="0.25">
      <c r="B95">
        <f t="shared" si="17"/>
        <v>53</v>
      </c>
      <c r="C95" s="90">
        <f t="shared" si="19"/>
        <v>-1894</v>
      </c>
      <c r="D95" s="90">
        <f t="shared" si="19"/>
        <v>-47350</v>
      </c>
      <c r="E95" s="90">
        <f t="shared" si="19"/>
        <v>-1894</v>
      </c>
      <c r="F95" s="90">
        <f t="shared" si="19"/>
        <v>-47350</v>
      </c>
      <c r="G95" s="90">
        <f t="shared" si="19"/>
        <v>-9470</v>
      </c>
      <c r="H95" s="90">
        <f t="shared" si="19"/>
        <v>-9470</v>
      </c>
      <c r="I95" s="90">
        <f t="shared" si="19"/>
        <v>-9470</v>
      </c>
      <c r="J95" s="90">
        <f t="shared" si="19"/>
        <v>-1894</v>
      </c>
      <c r="K95" s="90">
        <f t="shared" si="19"/>
        <v>-9470</v>
      </c>
      <c r="L95" s="90">
        <f t="shared" si="19"/>
        <v>-3788</v>
      </c>
    </row>
    <row r="96" spans="2:12" x14ac:dyDescent="0.25">
      <c r="B96">
        <f t="shared" si="17"/>
        <v>54</v>
      </c>
      <c r="C96" s="90">
        <f t="shared" si="19"/>
        <v>-1892</v>
      </c>
      <c r="D96" s="90">
        <f t="shared" si="19"/>
        <v>-47300</v>
      </c>
      <c r="E96" s="90">
        <f t="shared" si="19"/>
        <v>-1892</v>
      </c>
      <c r="F96" s="90">
        <f t="shared" si="19"/>
        <v>-47300</v>
      </c>
      <c r="G96" s="90">
        <f t="shared" si="19"/>
        <v>-9460</v>
      </c>
      <c r="H96" s="90">
        <f t="shared" si="19"/>
        <v>-9460</v>
      </c>
      <c r="I96" s="90">
        <f t="shared" si="19"/>
        <v>-9460</v>
      </c>
      <c r="J96" s="90">
        <f t="shared" si="19"/>
        <v>-1892</v>
      </c>
      <c r="K96" s="90">
        <f t="shared" si="19"/>
        <v>-9460</v>
      </c>
      <c r="L96" s="90">
        <f t="shared" si="19"/>
        <v>-3784</v>
      </c>
    </row>
    <row r="97" spans="2:12" x14ac:dyDescent="0.25">
      <c r="B97">
        <f t="shared" si="17"/>
        <v>55</v>
      </c>
      <c r="C97" s="90">
        <f t="shared" si="19"/>
        <v>-1890</v>
      </c>
      <c r="D97" s="90">
        <f t="shared" si="19"/>
        <v>-47250</v>
      </c>
      <c r="E97" s="90">
        <f t="shared" si="19"/>
        <v>-1890</v>
      </c>
      <c r="F97" s="90">
        <f t="shared" si="19"/>
        <v>-47250</v>
      </c>
      <c r="G97" s="90">
        <f t="shared" si="19"/>
        <v>-9450</v>
      </c>
      <c r="H97" s="90">
        <f t="shared" si="19"/>
        <v>-9450</v>
      </c>
      <c r="I97" s="90">
        <f t="shared" si="19"/>
        <v>-9450</v>
      </c>
      <c r="J97" s="90">
        <f t="shared" si="19"/>
        <v>-1890</v>
      </c>
      <c r="K97" s="90">
        <f t="shared" si="19"/>
        <v>-9450</v>
      </c>
      <c r="L97" s="90">
        <f t="shared" si="19"/>
        <v>-3780</v>
      </c>
    </row>
    <row r="98" spans="2:12" x14ac:dyDescent="0.25">
      <c r="B98">
        <f t="shared" si="17"/>
        <v>56</v>
      </c>
      <c r="C98" s="90">
        <f t="shared" si="19"/>
        <v>-1888</v>
      </c>
      <c r="D98" s="90">
        <f t="shared" si="19"/>
        <v>-47200</v>
      </c>
      <c r="E98" s="90">
        <f t="shared" si="19"/>
        <v>-1888</v>
      </c>
      <c r="F98" s="90">
        <f t="shared" si="19"/>
        <v>-47200</v>
      </c>
      <c r="G98" s="90">
        <f t="shared" si="19"/>
        <v>-9440</v>
      </c>
      <c r="H98" s="90">
        <f t="shared" si="19"/>
        <v>-9440</v>
      </c>
      <c r="I98" s="90">
        <f t="shared" si="19"/>
        <v>-9440</v>
      </c>
      <c r="J98" s="90">
        <f t="shared" si="19"/>
        <v>-1888</v>
      </c>
      <c r="K98" s="90">
        <f t="shared" si="19"/>
        <v>-9440</v>
      </c>
      <c r="L98" s="90">
        <f t="shared" si="19"/>
        <v>-3776</v>
      </c>
    </row>
    <row r="99" spans="2:12" x14ac:dyDescent="0.25">
      <c r="B99">
        <f t="shared" si="17"/>
        <v>57</v>
      </c>
      <c r="C99" s="90">
        <f t="shared" si="19"/>
        <v>-1886</v>
      </c>
      <c r="D99" s="90">
        <f t="shared" si="19"/>
        <v>-47150</v>
      </c>
      <c r="E99" s="90">
        <f t="shared" si="19"/>
        <v>-1886</v>
      </c>
      <c r="F99" s="90">
        <f t="shared" si="19"/>
        <v>-47150</v>
      </c>
      <c r="G99" s="90">
        <f t="shared" si="19"/>
        <v>-9430</v>
      </c>
      <c r="H99" s="90">
        <f t="shared" si="19"/>
        <v>-9430</v>
      </c>
      <c r="I99" s="90">
        <f t="shared" si="19"/>
        <v>-9430</v>
      </c>
      <c r="J99" s="90">
        <f t="shared" si="19"/>
        <v>-1886</v>
      </c>
      <c r="K99" s="90">
        <f t="shared" si="19"/>
        <v>-9430</v>
      </c>
      <c r="L99" s="90">
        <f t="shared" si="19"/>
        <v>-3772</v>
      </c>
    </row>
    <row r="100" spans="2:12" x14ac:dyDescent="0.25">
      <c r="B100">
        <f t="shared" si="17"/>
        <v>58</v>
      </c>
      <c r="C100" s="90">
        <f t="shared" si="19"/>
        <v>-1884</v>
      </c>
      <c r="D100" s="90">
        <f t="shared" si="19"/>
        <v>-47100</v>
      </c>
      <c r="E100" s="90">
        <f t="shared" si="19"/>
        <v>-1884</v>
      </c>
      <c r="F100" s="90">
        <f t="shared" si="19"/>
        <v>-47100</v>
      </c>
      <c r="G100" s="90">
        <f t="shared" si="19"/>
        <v>-9420</v>
      </c>
      <c r="H100" s="90">
        <f t="shared" si="19"/>
        <v>-9420</v>
      </c>
      <c r="I100" s="90">
        <f t="shared" si="19"/>
        <v>-9420</v>
      </c>
      <c r="J100" s="90">
        <f t="shared" si="19"/>
        <v>-1884</v>
      </c>
      <c r="K100" s="90">
        <f t="shared" si="19"/>
        <v>-9420</v>
      </c>
      <c r="L100" s="90">
        <f t="shared" si="19"/>
        <v>-3768</v>
      </c>
    </row>
    <row r="101" spans="2:12" x14ac:dyDescent="0.25">
      <c r="B101">
        <f t="shared" si="17"/>
        <v>59</v>
      </c>
      <c r="C101" s="90">
        <f t="shared" si="19"/>
        <v>-1882</v>
      </c>
      <c r="D101" s="90">
        <f t="shared" si="19"/>
        <v>-47050</v>
      </c>
      <c r="E101" s="90">
        <f t="shared" si="19"/>
        <v>-1882</v>
      </c>
      <c r="F101" s="90">
        <f t="shared" si="19"/>
        <v>-47050</v>
      </c>
      <c r="G101" s="90">
        <f t="shared" si="19"/>
        <v>-9410</v>
      </c>
      <c r="H101" s="90">
        <f t="shared" si="19"/>
        <v>-9410</v>
      </c>
      <c r="I101" s="90">
        <f t="shared" si="19"/>
        <v>-9410</v>
      </c>
      <c r="J101" s="90">
        <f t="shared" si="19"/>
        <v>-1882</v>
      </c>
      <c r="K101" s="90">
        <f t="shared" si="19"/>
        <v>-9410</v>
      </c>
      <c r="L101" s="90">
        <f t="shared" si="19"/>
        <v>-3764</v>
      </c>
    </row>
    <row r="102" spans="2:12" x14ac:dyDescent="0.25">
      <c r="B102">
        <f t="shared" si="17"/>
        <v>60</v>
      </c>
      <c r="C102" s="90">
        <f t="shared" si="19"/>
        <v>-1880</v>
      </c>
      <c r="D102" s="90">
        <f t="shared" si="19"/>
        <v>-47000</v>
      </c>
      <c r="E102" s="90">
        <f t="shared" si="19"/>
        <v>-1880</v>
      </c>
      <c r="F102" s="90">
        <f t="shared" si="19"/>
        <v>-47000</v>
      </c>
      <c r="G102" s="90">
        <f t="shared" si="19"/>
        <v>-9400</v>
      </c>
      <c r="H102" s="90">
        <f t="shared" si="19"/>
        <v>-9400</v>
      </c>
      <c r="I102" s="90">
        <f t="shared" si="19"/>
        <v>-9400</v>
      </c>
      <c r="J102" s="90">
        <f t="shared" si="19"/>
        <v>-1880</v>
      </c>
      <c r="K102" s="90">
        <f t="shared" si="19"/>
        <v>-9400</v>
      </c>
      <c r="L102" s="90">
        <f t="shared" si="19"/>
        <v>-3760</v>
      </c>
    </row>
    <row r="103" spans="2:12" x14ac:dyDescent="0.25">
      <c r="B103">
        <f t="shared" si="17"/>
        <v>61</v>
      </c>
      <c r="C103" s="90">
        <f t="shared" si="19"/>
        <v>-1878</v>
      </c>
      <c r="D103" s="90">
        <f t="shared" si="19"/>
        <v>-46950</v>
      </c>
      <c r="E103" s="90">
        <f t="shared" si="19"/>
        <v>-1878</v>
      </c>
      <c r="F103" s="90">
        <f t="shared" si="19"/>
        <v>-46950</v>
      </c>
      <c r="G103" s="90">
        <f t="shared" si="19"/>
        <v>-9390</v>
      </c>
      <c r="H103" s="90">
        <f t="shared" si="19"/>
        <v>-9390</v>
      </c>
      <c r="I103" s="90">
        <f t="shared" si="19"/>
        <v>-9390</v>
      </c>
      <c r="J103" s="90">
        <f t="shared" si="19"/>
        <v>-1878</v>
      </c>
      <c r="K103" s="90">
        <f t="shared" si="19"/>
        <v>-9390</v>
      </c>
      <c r="L103" s="90">
        <f t="shared" si="19"/>
        <v>-3756</v>
      </c>
    </row>
    <row r="104" spans="2:12" x14ac:dyDescent="0.25">
      <c r="B104">
        <f t="shared" si="17"/>
        <v>62</v>
      </c>
      <c r="C104" s="90">
        <f t="shared" si="19"/>
        <v>-1876</v>
      </c>
      <c r="D104" s="90">
        <f t="shared" si="19"/>
        <v>-46900</v>
      </c>
      <c r="E104" s="90">
        <f t="shared" si="19"/>
        <v>-1876</v>
      </c>
      <c r="F104" s="90">
        <f t="shared" si="19"/>
        <v>-46900</v>
      </c>
      <c r="G104" s="90">
        <f t="shared" si="19"/>
        <v>-9380</v>
      </c>
      <c r="H104" s="90">
        <f t="shared" si="19"/>
        <v>-9380</v>
      </c>
      <c r="I104" s="90">
        <f t="shared" si="19"/>
        <v>-9380</v>
      </c>
      <c r="J104" s="90">
        <f t="shared" si="19"/>
        <v>-1876</v>
      </c>
      <c r="K104" s="90">
        <f t="shared" si="19"/>
        <v>-9380</v>
      </c>
      <c r="L104" s="90">
        <f t="shared" si="19"/>
        <v>-3752</v>
      </c>
    </row>
    <row r="105" spans="2:12" x14ac:dyDescent="0.25">
      <c r="B105">
        <f t="shared" si="17"/>
        <v>63</v>
      </c>
      <c r="C105" s="90">
        <f t="shared" si="19"/>
        <v>-1874</v>
      </c>
      <c r="D105" s="90">
        <f t="shared" si="19"/>
        <v>-46850</v>
      </c>
      <c r="E105" s="90">
        <f t="shared" si="19"/>
        <v>-1874</v>
      </c>
      <c r="F105" s="90">
        <f t="shared" si="19"/>
        <v>-46850</v>
      </c>
      <c r="G105" s="90">
        <f t="shared" si="19"/>
        <v>-9370</v>
      </c>
      <c r="H105" s="90">
        <f t="shared" si="19"/>
        <v>-9370</v>
      </c>
      <c r="I105" s="90">
        <f t="shared" si="19"/>
        <v>-9370</v>
      </c>
      <c r="J105" s="90">
        <f t="shared" si="19"/>
        <v>-1874</v>
      </c>
      <c r="K105" s="90">
        <f t="shared" si="19"/>
        <v>-9370</v>
      </c>
      <c r="L105" s="90">
        <f t="shared" si="19"/>
        <v>-3748</v>
      </c>
    </row>
    <row r="106" spans="2:12" x14ac:dyDescent="0.25">
      <c r="B106">
        <f t="shared" si="17"/>
        <v>64</v>
      </c>
      <c r="C106" s="90">
        <f t="shared" si="19"/>
        <v>-1872</v>
      </c>
      <c r="D106" s="90">
        <f t="shared" si="19"/>
        <v>-46800</v>
      </c>
      <c r="E106" s="90">
        <f t="shared" si="19"/>
        <v>-1872</v>
      </c>
      <c r="F106" s="90">
        <f t="shared" si="19"/>
        <v>-46800</v>
      </c>
      <c r="G106" s="90">
        <f t="shared" si="19"/>
        <v>-9360</v>
      </c>
      <c r="H106" s="90">
        <f t="shared" si="19"/>
        <v>-9360</v>
      </c>
      <c r="I106" s="90">
        <f t="shared" si="19"/>
        <v>-9360</v>
      </c>
      <c r="J106" s="90">
        <f t="shared" si="19"/>
        <v>-1872</v>
      </c>
      <c r="K106" s="90">
        <f t="shared" si="19"/>
        <v>-9360</v>
      </c>
      <c r="L106" s="90">
        <f t="shared" si="19"/>
        <v>-3744</v>
      </c>
    </row>
    <row r="107" spans="2:12" x14ac:dyDescent="0.25">
      <c r="B107">
        <f t="shared" si="17"/>
        <v>65</v>
      </c>
      <c r="C107" s="90">
        <f t="shared" si="19"/>
        <v>-1870</v>
      </c>
      <c r="D107" s="90">
        <f t="shared" si="19"/>
        <v>-46750</v>
      </c>
      <c r="E107" s="90">
        <f t="shared" si="19"/>
        <v>-1870</v>
      </c>
      <c r="F107" s="90">
        <f t="shared" si="19"/>
        <v>-46750</v>
      </c>
      <c r="G107" s="90">
        <f t="shared" si="19"/>
        <v>-9350</v>
      </c>
      <c r="H107" s="90">
        <f t="shared" si="19"/>
        <v>-9350</v>
      </c>
      <c r="I107" s="90">
        <f t="shared" si="19"/>
        <v>-9350</v>
      </c>
      <c r="J107" s="90">
        <f t="shared" si="19"/>
        <v>-1870</v>
      </c>
      <c r="K107" s="90">
        <f t="shared" si="19"/>
        <v>-9350</v>
      </c>
      <c r="L107" s="90">
        <f t="shared" si="19"/>
        <v>-3740</v>
      </c>
    </row>
    <row r="108" spans="2:12" x14ac:dyDescent="0.25">
      <c r="B108">
        <f t="shared" ref="B108:B171" si="20">B107+1</f>
        <v>66</v>
      </c>
      <c r="C108" s="90">
        <f t="shared" si="19"/>
        <v>-1868</v>
      </c>
      <c r="D108" s="90">
        <f t="shared" si="19"/>
        <v>-46700</v>
      </c>
      <c r="E108" s="90">
        <f t="shared" si="19"/>
        <v>-1868</v>
      </c>
      <c r="F108" s="90">
        <f t="shared" si="19"/>
        <v>-46700</v>
      </c>
      <c r="G108" s="90">
        <f t="shared" si="19"/>
        <v>-9340</v>
      </c>
      <c r="H108" s="90">
        <f t="shared" ref="H108:L158" si="21">H107+H$40</f>
        <v>-9340</v>
      </c>
      <c r="I108" s="90">
        <f t="shared" si="21"/>
        <v>-9340</v>
      </c>
      <c r="J108" s="90">
        <f t="shared" si="21"/>
        <v>-1868</v>
      </c>
      <c r="K108" s="90">
        <f t="shared" si="21"/>
        <v>-9340</v>
      </c>
      <c r="L108" s="90">
        <f t="shared" si="21"/>
        <v>-3736</v>
      </c>
    </row>
    <row r="109" spans="2:12" x14ac:dyDescent="0.25">
      <c r="B109">
        <f t="shared" si="20"/>
        <v>67</v>
      </c>
      <c r="C109" s="90">
        <f t="shared" ref="C109:G159" si="22">C108+C$40</f>
        <v>-1866</v>
      </c>
      <c r="D109" s="90">
        <f t="shared" si="22"/>
        <v>-46650</v>
      </c>
      <c r="E109" s="90">
        <f t="shared" si="22"/>
        <v>-1866</v>
      </c>
      <c r="F109" s="90">
        <f t="shared" si="22"/>
        <v>-46650</v>
      </c>
      <c r="G109" s="90">
        <f t="shared" si="22"/>
        <v>-9330</v>
      </c>
      <c r="H109" s="90">
        <f t="shared" si="21"/>
        <v>-9330</v>
      </c>
      <c r="I109" s="90">
        <f t="shared" si="21"/>
        <v>-9330</v>
      </c>
      <c r="J109" s="90">
        <f t="shared" si="21"/>
        <v>-1866</v>
      </c>
      <c r="K109" s="90">
        <f t="shared" si="21"/>
        <v>-9330</v>
      </c>
      <c r="L109" s="90">
        <f t="shared" si="21"/>
        <v>-3732</v>
      </c>
    </row>
    <row r="110" spans="2:12" x14ac:dyDescent="0.25">
      <c r="B110">
        <f t="shared" si="20"/>
        <v>68</v>
      </c>
      <c r="C110" s="90">
        <f t="shared" si="22"/>
        <v>-1864</v>
      </c>
      <c r="D110" s="90">
        <f t="shared" si="22"/>
        <v>-46600</v>
      </c>
      <c r="E110" s="90">
        <f t="shared" si="22"/>
        <v>-1864</v>
      </c>
      <c r="F110" s="90">
        <f t="shared" si="22"/>
        <v>-46600</v>
      </c>
      <c r="G110" s="90">
        <f t="shared" si="22"/>
        <v>-9320</v>
      </c>
      <c r="H110" s="90">
        <f t="shared" si="21"/>
        <v>-9320</v>
      </c>
      <c r="I110" s="90">
        <f t="shared" si="21"/>
        <v>-9320</v>
      </c>
      <c r="J110" s="90">
        <f t="shared" si="21"/>
        <v>-1864</v>
      </c>
      <c r="K110" s="90">
        <f t="shared" si="21"/>
        <v>-9320</v>
      </c>
      <c r="L110" s="90">
        <f t="shared" si="21"/>
        <v>-3728</v>
      </c>
    </row>
    <row r="111" spans="2:12" x14ac:dyDescent="0.25">
      <c r="B111">
        <f t="shared" si="20"/>
        <v>69</v>
      </c>
      <c r="C111" s="90">
        <f t="shared" si="22"/>
        <v>-1862</v>
      </c>
      <c r="D111" s="90">
        <f t="shared" si="22"/>
        <v>-46550</v>
      </c>
      <c r="E111" s="90">
        <f t="shared" si="22"/>
        <v>-1862</v>
      </c>
      <c r="F111" s="90">
        <f t="shared" si="22"/>
        <v>-46550</v>
      </c>
      <c r="G111" s="90">
        <f t="shared" si="22"/>
        <v>-9310</v>
      </c>
      <c r="H111" s="90">
        <f t="shared" si="21"/>
        <v>-9310</v>
      </c>
      <c r="I111" s="90">
        <f t="shared" si="21"/>
        <v>-9310</v>
      </c>
      <c r="J111" s="90">
        <f t="shared" si="21"/>
        <v>-1862</v>
      </c>
      <c r="K111" s="90">
        <f t="shared" si="21"/>
        <v>-9310</v>
      </c>
      <c r="L111" s="90">
        <f t="shared" si="21"/>
        <v>-3724</v>
      </c>
    </row>
    <row r="112" spans="2:12" x14ac:dyDescent="0.25">
      <c r="B112">
        <f t="shared" si="20"/>
        <v>70</v>
      </c>
      <c r="C112" s="90">
        <f t="shared" si="22"/>
        <v>-1860</v>
      </c>
      <c r="D112" s="90">
        <f t="shared" si="22"/>
        <v>-46500</v>
      </c>
      <c r="E112" s="90">
        <f t="shared" si="22"/>
        <v>-1860</v>
      </c>
      <c r="F112" s="90">
        <f t="shared" si="22"/>
        <v>-46500</v>
      </c>
      <c r="G112" s="90">
        <f t="shared" si="22"/>
        <v>-9300</v>
      </c>
      <c r="H112" s="90">
        <f t="shared" si="21"/>
        <v>-9300</v>
      </c>
      <c r="I112" s="90">
        <f t="shared" si="21"/>
        <v>-9300</v>
      </c>
      <c r="J112" s="90">
        <f t="shared" si="21"/>
        <v>-1860</v>
      </c>
      <c r="K112" s="90">
        <f t="shared" si="21"/>
        <v>-9300</v>
      </c>
      <c r="L112" s="90">
        <f t="shared" si="21"/>
        <v>-3720</v>
      </c>
    </row>
    <row r="113" spans="2:12" x14ac:dyDescent="0.25">
      <c r="B113">
        <f t="shared" si="20"/>
        <v>71</v>
      </c>
      <c r="C113" s="90">
        <f t="shared" si="22"/>
        <v>-1858</v>
      </c>
      <c r="D113" s="90">
        <f t="shared" si="22"/>
        <v>-46450</v>
      </c>
      <c r="E113" s="90">
        <f t="shared" si="22"/>
        <v>-1858</v>
      </c>
      <c r="F113" s="90">
        <f t="shared" si="22"/>
        <v>-46450</v>
      </c>
      <c r="G113" s="90">
        <f t="shared" si="22"/>
        <v>-9290</v>
      </c>
      <c r="H113" s="90">
        <f t="shared" si="21"/>
        <v>-9290</v>
      </c>
      <c r="I113" s="90">
        <f t="shared" si="21"/>
        <v>-9290</v>
      </c>
      <c r="J113" s="90">
        <f t="shared" si="21"/>
        <v>-1858</v>
      </c>
      <c r="K113" s="90">
        <f t="shared" si="21"/>
        <v>-9290</v>
      </c>
      <c r="L113" s="90">
        <f t="shared" si="21"/>
        <v>-3716</v>
      </c>
    </row>
    <row r="114" spans="2:12" x14ac:dyDescent="0.25">
      <c r="B114">
        <f t="shared" si="20"/>
        <v>72</v>
      </c>
      <c r="C114" s="90">
        <f t="shared" si="22"/>
        <v>-1856</v>
      </c>
      <c r="D114" s="90">
        <f t="shared" si="22"/>
        <v>-46400</v>
      </c>
      <c r="E114" s="90">
        <f t="shared" si="22"/>
        <v>-1856</v>
      </c>
      <c r="F114" s="90">
        <f t="shared" si="22"/>
        <v>-46400</v>
      </c>
      <c r="G114" s="90">
        <f t="shared" si="22"/>
        <v>-9280</v>
      </c>
      <c r="H114" s="90">
        <f t="shared" si="21"/>
        <v>-9280</v>
      </c>
      <c r="I114" s="90">
        <f t="shared" si="21"/>
        <v>-9280</v>
      </c>
      <c r="J114" s="90">
        <f t="shared" si="21"/>
        <v>-1856</v>
      </c>
      <c r="K114" s="90">
        <f t="shared" si="21"/>
        <v>-9280</v>
      </c>
      <c r="L114" s="90">
        <f t="shared" si="21"/>
        <v>-3712</v>
      </c>
    </row>
    <row r="115" spans="2:12" x14ac:dyDescent="0.25">
      <c r="B115">
        <f t="shared" si="20"/>
        <v>73</v>
      </c>
      <c r="C115" s="90">
        <f t="shared" si="22"/>
        <v>-1854</v>
      </c>
      <c r="D115" s="90">
        <f t="shared" si="22"/>
        <v>-46350</v>
      </c>
      <c r="E115" s="90">
        <f t="shared" si="22"/>
        <v>-1854</v>
      </c>
      <c r="F115" s="90">
        <f t="shared" si="22"/>
        <v>-46350</v>
      </c>
      <c r="G115" s="90">
        <f t="shared" si="22"/>
        <v>-9270</v>
      </c>
      <c r="H115" s="90">
        <f t="shared" si="21"/>
        <v>-9270</v>
      </c>
      <c r="I115" s="90">
        <f t="shared" si="21"/>
        <v>-9270</v>
      </c>
      <c r="J115" s="90">
        <f t="shared" si="21"/>
        <v>-1854</v>
      </c>
      <c r="K115" s="90">
        <f t="shared" si="21"/>
        <v>-9270</v>
      </c>
      <c r="L115" s="90">
        <f t="shared" si="21"/>
        <v>-3708</v>
      </c>
    </row>
    <row r="116" spans="2:12" x14ac:dyDescent="0.25">
      <c r="B116">
        <f t="shared" si="20"/>
        <v>74</v>
      </c>
      <c r="C116" s="90">
        <f t="shared" si="22"/>
        <v>-1852</v>
      </c>
      <c r="D116" s="90">
        <f t="shared" si="22"/>
        <v>-46300</v>
      </c>
      <c r="E116" s="90">
        <f t="shared" si="22"/>
        <v>-1852</v>
      </c>
      <c r="F116" s="90">
        <f t="shared" si="22"/>
        <v>-46300</v>
      </c>
      <c r="G116" s="90">
        <f t="shared" si="22"/>
        <v>-9260</v>
      </c>
      <c r="H116" s="90">
        <f t="shared" si="21"/>
        <v>-9260</v>
      </c>
      <c r="I116" s="90">
        <f t="shared" si="21"/>
        <v>-9260</v>
      </c>
      <c r="J116" s="90">
        <f t="shared" si="21"/>
        <v>-1852</v>
      </c>
      <c r="K116" s="90">
        <f t="shared" si="21"/>
        <v>-9260</v>
      </c>
      <c r="L116" s="90">
        <f t="shared" si="21"/>
        <v>-3704</v>
      </c>
    </row>
    <row r="117" spans="2:12" x14ac:dyDescent="0.25">
      <c r="B117">
        <f t="shared" si="20"/>
        <v>75</v>
      </c>
      <c r="C117" s="90">
        <f t="shared" si="22"/>
        <v>-1850</v>
      </c>
      <c r="D117" s="90">
        <f t="shared" si="22"/>
        <v>-46250</v>
      </c>
      <c r="E117" s="90">
        <f t="shared" si="22"/>
        <v>-1850</v>
      </c>
      <c r="F117" s="90">
        <f t="shared" si="22"/>
        <v>-46250</v>
      </c>
      <c r="G117" s="90">
        <f t="shared" si="22"/>
        <v>-9250</v>
      </c>
      <c r="H117" s="90">
        <f t="shared" si="21"/>
        <v>-9250</v>
      </c>
      <c r="I117" s="90">
        <f t="shared" si="21"/>
        <v>-9250</v>
      </c>
      <c r="J117" s="90">
        <f t="shared" si="21"/>
        <v>-1850</v>
      </c>
      <c r="K117" s="90">
        <f t="shared" si="21"/>
        <v>-9250</v>
      </c>
      <c r="L117" s="90">
        <f t="shared" si="21"/>
        <v>-3700</v>
      </c>
    </row>
    <row r="118" spans="2:12" x14ac:dyDescent="0.25">
      <c r="B118">
        <f t="shared" si="20"/>
        <v>76</v>
      </c>
      <c r="C118" s="90">
        <f t="shared" si="22"/>
        <v>-1848</v>
      </c>
      <c r="D118" s="90">
        <f t="shared" si="22"/>
        <v>-46200</v>
      </c>
      <c r="E118" s="90">
        <f t="shared" si="22"/>
        <v>-1848</v>
      </c>
      <c r="F118" s="90">
        <f t="shared" si="22"/>
        <v>-46200</v>
      </c>
      <c r="G118" s="90">
        <f t="shared" si="22"/>
        <v>-9240</v>
      </c>
      <c r="H118" s="90">
        <f t="shared" si="21"/>
        <v>-9240</v>
      </c>
      <c r="I118" s="90">
        <f t="shared" si="21"/>
        <v>-9240</v>
      </c>
      <c r="J118" s="90">
        <f t="shared" si="21"/>
        <v>-1848</v>
      </c>
      <c r="K118" s="90">
        <f t="shared" si="21"/>
        <v>-9240</v>
      </c>
      <c r="L118" s="90">
        <f t="shared" si="21"/>
        <v>-3696</v>
      </c>
    </row>
    <row r="119" spans="2:12" x14ac:dyDescent="0.25">
      <c r="B119">
        <f t="shared" si="20"/>
        <v>77</v>
      </c>
      <c r="C119" s="90">
        <f t="shared" si="22"/>
        <v>-1846</v>
      </c>
      <c r="D119" s="90">
        <f t="shared" si="22"/>
        <v>-46150</v>
      </c>
      <c r="E119" s="90">
        <f t="shared" si="22"/>
        <v>-1846</v>
      </c>
      <c r="F119" s="90">
        <f t="shared" si="22"/>
        <v>-46150</v>
      </c>
      <c r="G119" s="90">
        <f t="shared" si="22"/>
        <v>-9230</v>
      </c>
      <c r="H119" s="90">
        <f t="shared" si="21"/>
        <v>-9230</v>
      </c>
      <c r="I119" s="90">
        <f t="shared" si="21"/>
        <v>-9230</v>
      </c>
      <c r="J119" s="90">
        <f t="shared" si="21"/>
        <v>-1846</v>
      </c>
      <c r="K119" s="90">
        <f t="shared" si="21"/>
        <v>-9230</v>
      </c>
      <c r="L119" s="90">
        <f t="shared" si="21"/>
        <v>-3692</v>
      </c>
    </row>
    <row r="120" spans="2:12" x14ac:dyDescent="0.25">
      <c r="B120">
        <f t="shared" si="20"/>
        <v>78</v>
      </c>
      <c r="C120" s="90">
        <f t="shared" si="22"/>
        <v>-1844</v>
      </c>
      <c r="D120" s="90">
        <f t="shared" si="22"/>
        <v>-46100</v>
      </c>
      <c r="E120" s="90">
        <f t="shared" si="22"/>
        <v>-1844</v>
      </c>
      <c r="F120" s="90">
        <f t="shared" si="22"/>
        <v>-46100</v>
      </c>
      <c r="G120" s="90">
        <f t="shared" si="22"/>
        <v>-9220</v>
      </c>
      <c r="H120" s="90">
        <f t="shared" si="21"/>
        <v>-9220</v>
      </c>
      <c r="I120" s="90">
        <f t="shared" si="21"/>
        <v>-9220</v>
      </c>
      <c r="J120" s="90">
        <f t="shared" si="21"/>
        <v>-1844</v>
      </c>
      <c r="K120" s="90">
        <f t="shared" si="21"/>
        <v>-9220</v>
      </c>
      <c r="L120" s="90">
        <f t="shared" si="21"/>
        <v>-3688</v>
      </c>
    </row>
    <row r="121" spans="2:12" x14ac:dyDescent="0.25">
      <c r="B121">
        <f t="shared" si="20"/>
        <v>79</v>
      </c>
      <c r="C121" s="90">
        <f t="shared" si="22"/>
        <v>-1842</v>
      </c>
      <c r="D121" s="90">
        <f t="shared" si="22"/>
        <v>-46050</v>
      </c>
      <c r="E121" s="90">
        <f t="shared" si="22"/>
        <v>-1842</v>
      </c>
      <c r="F121" s="90">
        <f t="shared" si="22"/>
        <v>-46050</v>
      </c>
      <c r="G121" s="90">
        <f t="shared" si="22"/>
        <v>-9210</v>
      </c>
      <c r="H121" s="90">
        <f t="shared" si="21"/>
        <v>-9210</v>
      </c>
      <c r="I121" s="90">
        <f t="shared" si="21"/>
        <v>-9210</v>
      </c>
      <c r="J121" s="90">
        <f t="shared" si="21"/>
        <v>-1842</v>
      </c>
      <c r="K121" s="90">
        <f t="shared" si="21"/>
        <v>-9210</v>
      </c>
      <c r="L121" s="90">
        <f t="shared" si="21"/>
        <v>-3684</v>
      </c>
    </row>
    <row r="122" spans="2:12" x14ac:dyDescent="0.25">
      <c r="B122">
        <f t="shared" si="20"/>
        <v>80</v>
      </c>
      <c r="C122" s="90">
        <f t="shared" si="22"/>
        <v>-1840</v>
      </c>
      <c r="D122" s="90">
        <f t="shared" si="22"/>
        <v>-46000</v>
      </c>
      <c r="E122" s="90">
        <f t="shared" si="22"/>
        <v>-1840</v>
      </c>
      <c r="F122" s="90">
        <f t="shared" si="22"/>
        <v>-46000</v>
      </c>
      <c r="G122" s="90">
        <f t="shared" si="22"/>
        <v>-9200</v>
      </c>
      <c r="H122" s="90">
        <f t="shared" si="21"/>
        <v>-9200</v>
      </c>
      <c r="I122" s="90">
        <f t="shared" si="21"/>
        <v>-9200</v>
      </c>
      <c r="J122" s="90">
        <f t="shared" si="21"/>
        <v>-1840</v>
      </c>
      <c r="K122" s="90">
        <f t="shared" si="21"/>
        <v>-9200</v>
      </c>
      <c r="L122" s="90">
        <f t="shared" si="21"/>
        <v>-3680</v>
      </c>
    </row>
    <row r="123" spans="2:12" x14ac:dyDescent="0.25">
      <c r="B123">
        <f t="shared" si="20"/>
        <v>81</v>
      </c>
      <c r="C123" s="90">
        <f t="shared" si="22"/>
        <v>-1838</v>
      </c>
      <c r="D123" s="90">
        <f t="shared" si="22"/>
        <v>-45950</v>
      </c>
      <c r="E123" s="90">
        <f t="shared" si="22"/>
        <v>-1838</v>
      </c>
      <c r="F123" s="90">
        <f t="shared" si="22"/>
        <v>-45950</v>
      </c>
      <c r="G123" s="90">
        <f t="shared" si="22"/>
        <v>-9190</v>
      </c>
      <c r="H123" s="90">
        <f t="shared" si="21"/>
        <v>-9190</v>
      </c>
      <c r="I123" s="90">
        <f t="shared" si="21"/>
        <v>-9190</v>
      </c>
      <c r="J123" s="90">
        <f t="shared" si="21"/>
        <v>-1838</v>
      </c>
      <c r="K123" s="90">
        <f t="shared" si="21"/>
        <v>-9190</v>
      </c>
      <c r="L123" s="90">
        <f t="shared" si="21"/>
        <v>-3676</v>
      </c>
    </row>
    <row r="124" spans="2:12" x14ac:dyDescent="0.25">
      <c r="B124">
        <f t="shared" si="20"/>
        <v>82</v>
      </c>
      <c r="C124" s="90">
        <f t="shared" si="22"/>
        <v>-1836</v>
      </c>
      <c r="D124" s="90">
        <f t="shared" si="22"/>
        <v>-45900</v>
      </c>
      <c r="E124" s="90">
        <f t="shared" si="22"/>
        <v>-1836</v>
      </c>
      <c r="F124" s="90">
        <f t="shared" si="22"/>
        <v>-45900</v>
      </c>
      <c r="G124" s="90">
        <f t="shared" si="22"/>
        <v>-9180</v>
      </c>
      <c r="H124" s="90">
        <f t="shared" si="21"/>
        <v>-9180</v>
      </c>
      <c r="I124" s="90">
        <f t="shared" si="21"/>
        <v>-9180</v>
      </c>
      <c r="J124" s="90">
        <f t="shared" si="21"/>
        <v>-1836</v>
      </c>
      <c r="K124" s="90">
        <f t="shared" si="21"/>
        <v>-9180</v>
      </c>
      <c r="L124" s="90">
        <f t="shared" si="21"/>
        <v>-3672</v>
      </c>
    </row>
    <row r="125" spans="2:12" x14ac:dyDescent="0.25">
      <c r="B125">
        <f t="shared" si="20"/>
        <v>83</v>
      </c>
      <c r="C125" s="90">
        <f t="shared" si="22"/>
        <v>-1834</v>
      </c>
      <c r="D125" s="90">
        <f t="shared" si="22"/>
        <v>-45850</v>
      </c>
      <c r="E125" s="90">
        <f t="shared" si="22"/>
        <v>-1834</v>
      </c>
      <c r="F125" s="90">
        <f t="shared" si="22"/>
        <v>-45850</v>
      </c>
      <c r="G125" s="90">
        <f t="shared" si="22"/>
        <v>-9170</v>
      </c>
      <c r="H125" s="90">
        <f t="shared" si="21"/>
        <v>-9170</v>
      </c>
      <c r="I125" s="90">
        <f t="shared" si="21"/>
        <v>-9170</v>
      </c>
      <c r="J125" s="90">
        <f t="shared" si="21"/>
        <v>-1834</v>
      </c>
      <c r="K125" s="90">
        <f t="shared" si="21"/>
        <v>-9170</v>
      </c>
      <c r="L125" s="90">
        <f t="shared" si="21"/>
        <v>-3668</v>
      </c>
    </row>
    <row r="126" spans="2:12" x14ac:dyDescent="0.25">
      <c r="B126">
        <f t="shared" si="20"/>
        <v>84</v>
      </c>
      <c r="C126" s="90">
        <f t="shared" si="22"/>
        <v>-1832</v>
      </c>
      <c r="D126" s="90">
        <f t="shared" si="22"/>
        <v>-45800</v>
      </c>
      <c r="E126" s="90">
        <f t="shared" si="22"/>
        <v>-1832</v>
      </c>
      <c r="F126" s="90">
        <f t="shared" si="22"/>
        <v>-45800</v>
      </c>
      <c r="G126" s="90">
        <f t="shared" si="22"/>
        <v>-9160</v>
      </c>
      <c r="H126" s="90">
        <f t="shared" si="21"/>
        <v>-9160</v>
      </c>
      <c r="I126" s="90">
        <f t="shared" si="21"/>
        <v>-9160</v>
      </c>
      <c r="J126" s="90">
        <f t="shared" si="21"/>
        <v>-1832</v>
      </c>
      <c r="K126" s="90">
        <f t="shared" si="21"/>
        <v>-9160</v>
      </c>
      <c r="L126" s="90">
        <f t="shared" si="21"/>
        <v>-3664</v>
      </c>
    </row>
    <row r="127" spans="2:12" x14ac:dyDescent="0.25">
      <c r="B127">
        <f t="shared" si="20"/>
        <v>85</v>
      </c>
      <c r="C127" s="90">
        <f t="shared" si="22"/>
        <v>-1830</v>
      </c>
      <c r="D127" s="90">
        <f t="shared" si="22"/>
        <v>-45750</v>
      </c>
      <c r="E127" s="90">
        <f t="shared" si="22"/>
        <v>-1830</v>
      </c>
      <c r="F127" s="90">
        <f t="shared" si="22"/>
        <v>-45750</v>
      </c>
      <c r="G127" s="90">
        <f t="shared" si="22"/>
        <v>-9150</v>
      </c>
      <c r="H127" s="90">
        <f t="shared" si="21"/>
        <v>-9150</v>
      </c>
      <c r="I127" s="90">
        <f t="shared" si="21"/>
        <v>-9150</v>
      </c>
      <c r="J127" s="90">
        <f t="shared" si="21"/>
        <v>-1830</v>
      </c>
      <c r="K127" s="90">
        <f t="shared" si="21"/>
        <v>-9150</v>
      </c>
      <c r="L127" s="90">
        <f t="shared" si="21"/>
        <v>-3660</v>
      </c>
    </row>
    <row r="128" spans="2:12" x14ac:dyDescent="0.25">
      <c r="B128">
        <f t="shared" si="20"/>
        <v>86</v>
      </c>
      <c r="C128" s="90">
        <f t="shared" si="22"/>
        <v>-1828</v>
      </c>
      <c r="D128" s="90">
        <f t="shared" si="22"/>
        <v>-45700</v>
      </c>
      <c r="E128" s="90">
        <f t="shared" si="22"/>
        <v>-1828</v>
      </c>
      <c r="F128" s="90">
        <f t="shared" si="22"/>
        <v>-45700</v>
      </c>
      <c r="G128" s="90">
        <f t="shared" si="22"/>
        <v>-9140</v>
      </c>
      <c r="H128" s="90">
        <f t="shared" si="21"/>
        <v>-9140</v>
      </c>
      <c r="I128" s="90">
        <f t="shared" si="21"/>
        <v>-9140</v>
      </c>
      <c r="J128" s="90">
        <f t="shared" si="21"/>
        <v>-1828</v>
      </c>
      <c r="K128" s="90">
        <f t="shared" si="21"/>
        <v>-9140</v>
      </c>
      <c r="L128" s="90">
        <f t="shared" si="21"/>
        <v>-3656</v>
      </c>
    </row>
    <row r="129" spans="2:12" x14ac:dyDescent="0.25">
      <c r="B129">
        <f t="shared" si="20"/>
        <v>87</v>
      </c>
      <c r="C129" s="90">
        <f t="shared" si="22"/>
        <v>-1826</v>
      </c>
      <c r="D129" s="90">
        <f t="shared" si="22"/>
        <v>-45650</v>
      </c>
      <c r="E129" s="90">
        <f t="shared" si="22"/>
        <v>-1826</v>
      </c>
      <c r="F129" s="90">
        <f t="shared" si="22"/>
        <v>-45650</v>
      </c>
      <c r="G129" s="90">
        <f t="shared" si="22"/>
        <v>-9130</v>
      </c>
      <c r="H129" s="90">
        <f t="shared" si="21"/>
        <v>-9130</v>
      </c>
      <c r="I129" s="90">
        <f t="shared" si="21"/>
        <v>-9130</v>
      </c>
      <c r="J129" s="90">
        <f t="shared" si="21"/>
        <v>-1826</v>
      </c>
      <c r="K129" s="90">
        <f t="shared" si="21"/>
        <v>-9130</v>
      </c>
      <c r="L129" s="90">
        <f t="shared" si="21"/>
        <v>-3652</v>
      </c>
    </row>
    <row r="130" spans="2:12" x14ac:dyDescent="0.25">
      <c r="B130">
        <f t="shared" si="20"/>
        <v>88</v>
      </c>
      <c r="C130" s="90">
        <f t="shared" si="22"/>
        <v>-1824</v>
      </c>
      <c r="D130" s="90">
        <f t="shared" si="22"/>
        <v>-45600</v>
      </c>
      <c r="E130" s="90">
        <f t="shared" si="22"/>
        <v>-1824</v>
      </c>
      <c r="F130" s="90">
        <f t="shared" si="22"/>
        <v>-45600</v>
      </c>
      <c r="G130" s="90">
        <f t="shared" si="22"/>
        <v>-9120</v>
      </c>
      <c r="H130" s="90">
        <f t="shared" si="21"/>
        <v>-9120</v>
      </c>
      <c r="I130" s="90">
        <f t="shared" si="21"/>
        <v>-9120</v>
      </c>
      <c r="J130" s="90">
        <f t="shared" si="21"/>
        <v>-1824</v>
      </c>
      <c r="K130" s="90">
        <f t="shared" si="21"/>
        <v>-9120</v>
      </c>
      <c r="L130" s="90">
        <f t="shared" si="21"/>
        <v>-3648</v>
      </c>
    </row>
    <row r="131" spans="2:12" x14ac:dyDescent="0.25">
      <c r="B131">
        <f t="shared" si="20"/>
        <v>89</v>
      </c>
      <c r="C131" s="90">
        <f t="shared" si="22"/>
        <v>-1822</v>
      </c>
      <c r="D131" s="90">
        <f t="shared" si="22"/>
        <v>-45550</v>
      </c>
      <c r="E131" s="90">
        <f t="shared" si="22"/>
        <v>-1822</v>
      </c>
      <c r="F131" s="90">
        <f t="shared" si="22"/>
        <v>-45550</v>
      </c>
      <c r="G131" s="90">
        <f t="shared" si="22"/>
        <v>-9110</v>
      </c>
      <c r="H131" s="90">
        <f t="shared" si="21"/>
        <v>-9110</v>
      </c>
      <c r="I131" s="90">
        <f t="shared" si="21"/>
        <v>-9110</v>
      </c>
      <c r="J131" s="90">
        <f t="shared" si="21"/>
        <v>-1822</v>
      </c>
      <c r="K131" s="90">
        <f t="shared" si="21"/>
        <v>-9110</v>
      </c>
      <c r="L131" s="90">
        <f t="shared" si="21"/>
        <v>-3644</v>
      </c>
    </row>
    <row r="132" spans="2:12" x14ac:dyDescent="0.25">
      <c r="B132">
        <f t="shared" si="20"/>
        <v>90</v>
      </c>
      <c r="C132" s="90">
        <f t="shared" si="22"/>
        <v>-1820</v>
      </c>
      <c r="D132" s="90">
        <f t="shared" si="22"/>
        <v>-45500</v>
      </c>
      <c r="E132" s="90">
        <f t="shared" si="22"/>
        <v>-1820</v>
      </c>
      <c r="F132" s="90">
        <f t="shared" si="22"/>
        <v>-45500</v>
      </c>
      <c r="G132" s="90">
        <f t="shared" si="22"/>
        <v>-9100</v>
      </c>
      <c r="H132" s="90">
        <f t="shared" si="21"/>
        <v>-9100</v>
      </c>
      <c r="I132" s="90">
        <f t="shared" si="21"/>
        <v>-9100</v>
      </c>
      <c r="J132" s="90">
        <f t="shared" si="21"/>
        <v>-1820</v>
      </c>
      <c r="K132" s="90">
        <f t="shared" si="21"/>
        <v>-9100</v>
      </c>
      <c r="L132" s="90">
        <f t="shared" si="21"/>
        <v>-3640</v>
      </c>
    </row>
    <row r="133" spans="2:12" x14ac:dyDescent="0.25">
      <c r="B133">
        <f t="shared" si="20"/>
        <v>91</v>
      </c>
      <c r="C133" s="90">
        <f t="shared" si="22"/>
        <v>-1818</v>
      </c>
      <c r="D133" s="90">
        <f t="shared" si="22"/>
        <v>-45450</v>
      </c>
      <c r="E133" s="90">
        <f t="shared" si="22"/>
        <v>-1818</v>
      </c>
      <c r="F133" s="90">
        <f t="shared" si="22"/>
        <v>-45450</v>
      </c>
      <c r="G133" s="90">
        <f t="shared" si="22"/>
        <v>-9090</v>
      </c>
      <c r="H133" s="90">
        <f t="shared" si="21"/>
        <v>-9090</v>
      </c>
      <c r="I133" s="90">
        <f t="shared" si="21"/>
        <v>-9090</v>
      </c>
      <c r="J133" s="90">
        <f t="shared" si="21"/>
        <v>-1818</v>
      </c>
      <c r="K133" s="90">
        <f t="shared" si="21"/>
        <v>-9090</v>
      </c>
      <c r="L133" s="90">
        <f t="shared" si="21"/>
        <v>-3636</v>
      </c>
    </row>
    <row r="134" spans="2:12" x14ac:dyDescent="0.25">
      <c r="B134">
        <f t="shared" si="20"/>
        <v>92</v>
      </c>
      <c r="C134" s="90">
        <f t="shared" si="22"/>
        <v>-1816</v>
      </c>
      <c r="D134" s="90">
        <f t="shared" si="22"/>
        <v>-45400</v>
      </c>
      <c r="E134" s="90">
        <f t="shared" si="22"/>
        <v>-1816</v>
      </c>
      <c r="F134" s="90">
        <f t="shared" si="22"/>
        <v>-45400</v>
      </c>
      <c r="G134" s="90">
        <f t="shared" si="22"/>
        <v>-9080</v>
      </c>
      <c r="H134" s="90">
        <f t="shared" si="21"/>
        <v>-9080</v>
      </c>
      <c r="I134" s="90">
        <f t="shared" si="21"/>
        <v>-9080</v>
      </c>
      <c r="J134" s="90">
        <f t="shared" si="21"/>
        <v>-1816</v>
      </c>
      <c r="K134" s="90">
        <f t="shared" si="21"/>
        <v>-9080</v>
      </c>
      <c r="L134" s="90">
        <f t="shared" si="21"/>
        <v>-3632</v>
      </c>
    </row>
    <row r="135" spans="2:12" x14ac:dyDescent="0.25">
      <c r="B135">
        <f t="shared" si="20"/>
        <v>93</v>
      </c>
      <c r="C135" s="90">
        <f t="shared" si="22"/>
        <v>-1814</v>
      </c>
      <c r="D135" s="90">
        <f t="shared" si="22"/>
        <v>-45350</v>
      </c>
      <c r="E135" s="90">
        <f t="shared" si="22"/>
        <v>-1814</v>
      </c>
      <c r="F135" s="90">
        <f t="shared" si="22"/>
        <v>-45350</v>
      </c>
      <c r="G135" s="90">
        <f t="shared" si="22"/>
        <v>-9070</v>
      </c>
      <c r="H135" s="90">
        <f t="shared" si="21"/>
        <v>-9070</v>
      </c>
      <c r="I135" s="90">
        <f t="shared" si="21"/>
        <v>-9070</v>
      </c>
      <c r="J135" s="90">
        <f t="shared" si="21"/>
        <v>-1814</v>
      </c>
      <c r="K135" s="90">
        <f t="shared" si="21"/>
        <v>-9070</v>
      </c>
      <c r="L135" s="90">
        <f t="shared" si="21"/>
        <v>-3628</v>
      </c>
    </row>
    <row r="136" spans="2:12" x14ac:dyDescent="0.25">
      <c r="B136">
        <f t="shared" si="20"/>
        <v>94</v>
      </c>
      <c r="C136" s="90">
        <f t="shared" si="22"/>
        <v>-1812</v>
      </c>
      <c r="D136" s="90">
        <f t="shared" si="22"/>
        <v>-45300</v>
      </c>
      <c r="E136" s="90">
        <f t="shared" si="22"/>
        <v>-1812</v>
      </c>
      <c r="F136" s="90">
        <f t="shared" si="22"/>
        <v>-45300</v>
      </c>
      <c r="G136" s="90">
        <f t="shared" si="22"/>
        <v>-9060</v>
      </c>
      <c r="H136" s="90">
        <f t="shared" si="21"/>
        <v>-9060</v>
      </c>
      <c r="I136" s="90">
        <f t="shared" si="21"/>
        <v>-9060</v>
      </c>
      <c r="J136" s="90">
        <f t="shared" si="21"/>
        <v>-1812</v>
      </c>
      <c r="K136" s="90">
        <f t="shared" si="21"/>
        <v>-9060</v>
      </c>
      <c r="L136" s="90">
        <f t="shared" si="21"/>
        <v>-3624</v>
      </c>
    </row>
    <row r="137" spans="2:12" x14ac:dyDescent="0.25">
      <c r="B137">
        <f t="shared" si="20"/>
        <v>95</v>
      </c>
      <c r="C137" s="90">
        <f t="shared" si="22"/>
        <v>-1810</v>
      </c>
      <c r="D137" s="90">
        <f t="shared" si="22"/>
        <v>-45250</v>
      </c>
      <c r="E137" s="90">
        <f t="shared" si="22"/>
        <v>-1810</v>
      </c>
      <c r="F137" s="90">
        <f t="shared" si="22"/>
        <v>-45250</v>
      </c>
      <c r="G137" s="90">
        <f t="shared" si="22"/>
        <v>-9050</v>
      </c>
      <c r="H137" s="90">
        <f t="shared" si="21"/>
        <v>-9050</v>
      </c>
      <c r="I137" s="90">
        <f t="shared" si="21"/>
        <v>-9050</v>
      </c>
      <c r="J137" s="90">
        <f t="shared" si="21"/>
        <v>-1810</v>
      </c>
      <c r="K137" s="90">
        <f t="shared" si="21"/>
        <v>-9050</v>
      </c>
      <c r="L137" s="90">
        <f t="shared" si="21"/>
        <v>-3620</v>
      </c>
    </row>
    <row r="138" spans="2:12" x14ac:dyDescent="0.25">
      <c r="B138">
        <f t="shared" si="20"/>
        <v>96</v>
      </c>
      <c r="C138" s="90">
        <f t="shared" si="22"/>
        <v>-1808</v>
      </c>
      <c r="D138" s="90">
        <f t="shared" si="22"/>
        <v>-45200</v>
      </c>
      <c r="E138" s="90">
        <f t="shared" si="22"/>
        <v>-1808</v>
      </c>
      <c r="F138" s="90">
        <f t="shared" si="22"/>
        <v>-45200</v>
      </c>
      <c r="G138" s="90">
        <f t="shared" si="22"/>
        <v>-9040</v>
      </c>
      <c r="H138" s="90">
        <f t="shared" si="21"/>
        <v>-9040</v>
      </c>
      <c r="I138" s="90">
        <f t="shared" si="21"/>
        <v>-9040</v>
      </c>
      <c r="J138" s="90">
        <f t="shared" si="21"/>
        <v>-1808</v>
      </c>
      <c r="K138" s="90">
        <f t="shared" si="21"/>
        <v>-9040</v>
      </c>
      <c r="L138" s="90">
        <f t="shared" si="21"/>
        <v>-3616</v>
      </c>
    </row>
    <row r="139" spans="2:12" x14ac:dyDescent="0.25">
      <c r="B139">
        <f t="shared" si="20"/>
        <v>97</v>
      </c>
      <c r="C139" s="90">
        <f t="shared" si="22"/>
        <v>-1806</v>
      </c>
      <c r="D139" s="90">
        <f t="shared" si="22"/>
        <v>-45150</v>
      </c>
      <c r="E139" s="90">
        <f t="shared" si="22"/>
        <v>-1806</v>
      </c>
      <c r="F139" s="90">
        <f t="shared" si="22"/>
        <v>-45150</v>
      </c>
      <c r="G139" s="90">
        <f t="shared" si="22"/>
        <v>-9030</v>
      </c>
      <c r="H139" s="90">
        <f t="shared" si="21"/>
        <v>-9030</v>
      </c>
      <c r="I139" s="90">
        <f t="shared" si="21"/>
        <v>-9030</v>
      </c>
      <c r="J139" s="90">
        <f t="shared" si="21"/>
        <v>-1806</v>
      </c>
      <c r="K139" s="90">
        <f t="shared" si="21"/>
        <v>-9030</v>
      </c>
      <c r="L139" s="90">
        <f t="shared" si="21"/>
        <v>-3612</v>
      </c>
    </row>
    <row r="140" spans="2:12" x14ac:dyDescent="0.25">
      <c r="B140">
        <f t="shared" si="20"/>
        <v>98</v>
      </c>
      <c r="C140" s="90">
        <f t="shared" si="22"/>
        <v>-1804</v>
      </c>
      <c r="D140" s="90">
        <f t="shared" si="22"/>
        <v>-45100</v>
      </c>
      <c r="E140" s="90">
        <f t="shared" si="22"/>
        <v>-1804</v>
      </c>
      <c r="F140" s="90">
        <f t="shared" si="22"/>
        <v>-45100</v>
      </c>
      <c r="G140" s="90">
        <f t="shared" si="22"/>
        <v>-9020</v>
      </c>
      <c r="H140" s="90">
        <f t="shared" si="21"/>
        <v>-9020</v>
      </c>
      <c r="I140" s="90">
        <f t="shared" si="21"/>
        <v>-9020</v>
      </c>
      <c r="J140" s="90">
        <f t="shared" si="21"/>
        <v>-1804</v>
      </c>
      <c r="K140" s="90">
        <f t="shared" si="21"/>
        <v>-9020</v>
      </c>
      <c r="L140" s="90">
        <f t="shared" si="21"/>
        <v>-3608</v>
      </c>
    </row>
    <row r="141" spans="2:12" x14ac:dyDescent="0.25">
      <c r="B141">
        <f t="shared" si="20"/>
        <v>99</v>
      </c>
      <c r="C141" s="90">
        <f t="shared" si="22"/>
        <v>-1802</v>
      </c>
      <c r="D141" s="90">
        <f t="shared" si="22"/>
        <v>-45050</v>
      </c>
      <c r="E141" s="90">
        <f t="shared" si="22"/>
        <v>-1802</v>
      </c>
      <c r="F141" s="90">
        <f t="shared" si="22"/>
        <v>-45050</v>
      </c>
      <c r="G141" s="90">
        <f t="shared" si="22"/>
        <v>-9010</v>
      </c>
      <c r="H141" s="90">
        <f t="shared" si="21"/>
        <v>-9010</v>
      </c>
      <c r="I141" s="90">
        <f t="shared" si="21"/>
        <v>-9010</v>
      </c>
      <c r="J141" s="90">
        <f t="shared" si="21"/>
        <v>-1802</v>
      </c>
      <c r="K141" s="90">
        <f t="shared" si="21"/>
        <v>-9010</v>
      </c>
      <c r="L141" s="90">
        <f t="shared" si="21"/>
        <v>-3604</v>
      </c>
    </row>
    <row r="142" spans="2:12" x14ac:dyDescent="0.25">
      <c r="B142">
        <f t="shared" si="20"/>
        <v>100</v>
      </c>
      <c r="C142" s="90">
        <f t="shared" si="22"/>
        <v>-1800</v>
      </c>
      <c r="D142" s="90">
        <f t="shared" si="22"/>
        <v>-45000</v>
      </c>
      <c r="E142" s="90">
        <f t="shared" si="22"/>
        <v>-1800</v>
      </c>
      <c r="F142" s="90">
        <f t="shared" si="22"/>
        <v>-45000</v>
      </c>
      <c r="G142" s="90">
        <f t="shared" si="22"/>
        <v>-9000</v>
      </c>
      <c r="H142" s="90">
        <f t="shared" si="21"/>
        <v>-9000</v>
      </c>
      <c r="I142" s="90">
        <f t="shared" si="21"/>
        <v>-9000</v>
      </c>
      <c r="J142" s="90">
        <f t="shared" si="21"/>
        <v>-1800</v>
      </c>
      <c r="K142" s="90">
        <f t="shared" si="21"/>
        <v>-9000</v>
      </c>
      <c r="L142" s="90">
        <f t="shared" si="21"/>
        <v>-3600</v>
      </c>
    </row>
    <row r="143" spans="2:12" x14ac:dyDescent="0.25">
      <c r="B143">
        <f t="shared" si="20"/>
        <v>101</v>
      </c>
      <c r="C143" s="90">
        <f t="shared" si="22"/>
        <v>-1798</v>
      </c>
      <c r="D143" s="90">
        <f t="shared" si="22"/>
        <v>-44950</v>
      </c>
      <c r="E143" s="90">
        <f t="shared" si="22"/>
        <v>-1798</v>
      </c>
      <c r="F143" s="90">
        <f t="shared" si="22"/>
        <v>-44950</v>
      </c>
      <c r="G143" s="90">
        <f t="shared" si="22"/>
        <v>-8990</v>
      </c>
      <c r="H143" s="90">
        <f t="shared" si="21"/>
        <v>-8990</v>
      </c>
      <c r="I143" s="90">
        <f t="shared" si="21"/>
        <v>-8990</v>
      </c>
      <c r="J143" s="90">
        <f t="shared" si="21"/>
        <v>-1798</v>
      </c>
      <c r="K143" s="90">
        <f t="shared" si="21"/>
        <v>-8990</v>
      </c>
      <c r="L143" s="90">
        <f t="shared" si="21"/>
        <v>-3596</v>
      </c>
    </row>
    <row r="144" spans="2:12" x14ac:dyDescent="0.25">
      <c r="B144">
        <f t="shared" si="20"/>
        <v>102</v>
      </c>
      <c r="C144" s="90">
        <f t="shared" si="22"/>
        <v>-1796</v>
      </c>
      <c r="D144" s="90">
        <f t="shared" si="22"/>
        <v>-44900</v>
      </c>
      <c r="E144" s="90">
        <f t="shared" si="22"/>
        <v>-1796</v>
      </c>
      <c r="F144" s="90">
        <f t="shared" si="22"/>
        <v>-44900</v>
      </c>
      <c r="G144" s="90">
        <f t="shared" si="22"/>
        <v>-8980</v>
      </c>
      <c r="H144" s="90">
        <f t="shared" si="21"/>
        <v>-8980</v>
      </c>
      <c r="I144" s="90">
        <f t="shared" si="21"/>
        <v>-8980</v>
      </c>
      <c r="J144" s="90">
        <f t="shared" si="21"/>
        <v>-1796</v>
      </c>
      <c r="K144" s="90">
        <f t="shared" si="21"/>
        <v>-8980</v>
      </c>
      <c r="L144" s="90">
        <f t="shared" si="21"/>
        <v>-3592</v>
      </c>
    </row>
    <row r="145" spans="2:12" x14ac:dyDescent="0.25">
      <c r="B145">
        <f t="shared" si="20"/>
        <v>103</v>
      </c>
      <c r="C145" s="90">
        <f t="shared" si="22"/>
        <v>-1794</v>
      </c>
      <c r="D145" s="90">
        <f t="shared" si="22"/>
        <v>-44850</v>
      </c>
      <c r="E145" s="90">
        <f t="shared" si="22"/>
        <v>-1794</v>
      </c>
      <c r="F145" s="90">
        <f t="shared" si="22"/>
        <v>-44850</v>
      </c>
      <c r="G145" s="90">
        <f t="shared" si="22"/>
        <v>-8970</v>
      </c>
      <c r="H145" s="90">
        <f t="shared" si="21"/>
        <v>-8970</v>
      </c>
      <c r="I145" s="90">
        <f t="shared" si="21"/>
        <v>-8970</v>
      </c>
      <c r="J145" s="90">
        <f t="shared" si="21"/>
        <v>-1794</v>
      </c>
      <c r="K145" s="90">
        <f t="shared" si="21"/>
        <v>-8970</v>
      </c>
      <c r="L145" s="90">
        <f t="shared" si="21"/>
        <v>-3588</v>
      </c>
    </row>
    <row r="146" spans="2:12" x14ac:dyDescent="0.25">
      <c r="B146">
        <f t="shared" si="20"/>
        <v>104</v>
      </c>
      <c r="C146" s="90">
        <f t="shared" si="22"/>
        <v>-1792</v>
      </c>
      <c r="D146" s="90">
        <f t="shared" si="22"/>
        <v>-44800</v>
      </c>
      <c r="E146" s="90">
        <f t="shared" si="22"/>
        <v>-1792</v>
      </c>
      <c r="F146" s="90">
        <f t="shared" si="22"/>
        <v>-44800</v>
      </c>
      <c r="G146" s="90">
        <f t="shared" si="22"/>
        <v>-8960</v>
      </c>
      <c r="H146" s="90">
        <f t="shared" si="21"/>
        <v>-8960</v>
      </c>
      <c r="I146" s="90">
        <f t="shared" si="21"/>
        <v>-8960</v>
      </c>
      <c r="J146" s="90">
        <f t="shared" si="21"/>
        <v>-1792</v>
      </c>
      <c r="K146" s="90">
        <f t="shared" si="21"/>
        <v>-8960</v>
      </c>
      <c r="L146" s="90">
        <f t="shared" si="21"/>
        <v>-3584</v>
      </c>
    </row>
    <row r="147" spans="2:12" x14ac:dyDescent="0.25">
      <c r="B147">
        <f t="shared" si="20"/>
        <v>105</v>
      </c>
      <c r="C147" s="90">
        <f t="shared" si="22"/>
        <v>-1790</v>
      </c>
      <c r="D147" s="90">
        <f t="shared" si="22"/>
        <v>-44750</v>
      </c>
      <c r="E147" s="90">
        <f t="shared" si="22"/>
        <v>-1790</v>
      </c>
      <c r="F147" s="90">
        <f t="shared" si="22"/>
        <v>-44750</v>
      </c>
      <c r="G147" s="90">
        <f t="shared" si="22"/>
        <v>-8950</v>
      </c>
      <c r="H147" s="90">
        <f t="shared" si="21"/>
        <v>-8950</v>
      </c>
      <c r="I147" s="90">
        <f t="shared" si="21"/>
        <v>-8950</v>
      </c>
      <c r="J147" s="90">
        <f t="shared" si="21"/>
        <v>-1790</v>
      </c>
      <c r="K147" s="90">
        <f t="shared" si="21"/>
        <v>-8950</v>
      </c>
      <c r="L147" s="90">
        <f t="shared" si="21"/>
        <v>-3580</v>
      </c>
    </row>
    <row r="148" spans="2:12" x14ac:dyDescent="0.25">
      <c r="B148">
        <f t="shared" si="20"/>
        <v>106</v>
      </c>
      <c r="C148" s="90">
        <f t="shared" si="22"/>
        <v>-1788</v>
      </c>
      <c r="D148" s="90">
        <f t="shared" si="22"/>
        <v>-44700</v>
      </c>
      <c r="E148" s="90">
        <f t="shared" si="22"/>
        <v>-1788</v>
      </c>
      <c r="F148" s="90">
        <f t="shared" si="22"/>
        <v>-44700</v>
      </c>
      <c r="G148" s="90">
        <f t="shared" si="22"/>
        <v>-8940</v>
      </c>
      <c r="H148" s="90">
        <f t="shared" si="21"/>
        <v>-8940</v>
      </c>
      <c r="I148" s="90">
        <f t="shared" si="21"/>
        <v>-8940</v>
      </c>
      <c r="J148" s="90">
        <f t="shared" si="21"/>
        <v>-1788</v>
      </c>
      <c r="K148" s="90">
        <f t="shared" si="21"/>
        <v>-8940</v>
      </c>
      <c r="L148" s="90">
        <f t="shared" si="21"/>
        <v>-3576</v>
      </c>
    </row>
    <row r="149" spans="2:12" x14ac:dyDescent="0.25">
      <c r="B149">
        <f t="shared" si="20"/>
        <v>107</v>
      </c>
      <c r="C149" s="90">
        <f t="shared" si="22"/>
        <v>-1786</v>
      </c>
      <c r="D149" s="90">
        <f t="shared" si="22"/>
        <v>-44650</v>
      </c>
      <c r="E149" s="90">
        <f t="shared" si="22"/>
        <v>-1786</v>
      </c>
      <c r="F149" s="90">
        <f t="shared" si="22"/>
        <v>-44650</v>
      </c>
      <c r="G149" s="90">
        <f t="shared" si="22"/>
        <v>-8930</v>
      </c>
      <c r="H149" s="90">
        <f t="shared" si="21"/>
        <v>-8930</v>
      </c>
      <c r="I149" s="90">
        <f t="shared" si="21"/>
        <v>-8930</v>
      </c>
      <c r="J149" s="90">
        <f t="shared" si="21"/>
        <v>-1786</v>
      </c>
      <c r="K149" s="90">
        <f t="shared" si="21"/>
        <v>-8930</v>
      </c>
      <c r="L149" s="90">
        <f t="shared" si="21"/>
        <v>-3572</v>
      </c>
    </row>
    <row r="150" spans="2:12" x14ac:dyDescent="0.25">
      <c r="B150">
        <f t="shared" si="20"/>
        <v>108</v>
      </c>
      <c r="C150" s="90">
        <f t="shared" si="22"/>
        <v>-1784</v>
      </c>
      <c r="D150" s="90">
        <f t="shared" si="22"/>
        <v>-44600</v>
      </c>
      <c r="E150" s="90">
        <f t="shared" si="22"/>
        <v>-1784</v>
      </c>
      <c r="F150" s="90">
        <f t="shared" si="22"/>
        <v>-44600</v>
      </c>
      <c r="G150" s="90">
        <f t="shared" si="22"/>
        <v>-8920</v>
      </c>
      <c r="H150" s="90">
        <f t="shared" si="21"/>
        <v>-8920</v>
      </c>
      <c r="I150" s="90">
        <f t="shared" si="21"/>
        <v>-8920</v>
      </c>
      <c r="J150" s="90">
        <f t="shared" si="21"/>
        <v>-1784</v>
      </c>
      <c r="K150" s="90">
        <f t="shared" si="21"/>
        <v>-8920</v>
      </c>
      <c r="L150" s="90">
        <f t="shared" si="21"/>
        <v>-3568</v>
      </c>
    </row>
    <row r="151" spans="2:12" x14ac:dyDescent="0.25">
      <c r="B151">
        <f t="shared" si="20"/>
        <v>109</v>
      </c>
      <c r="C151" s="90">
        <f t="shared" si="22"/>
        <v>-1782</v>
      </c>
      <c r="D151" s="90">
        <f t="shared" si="22"/>
        <v>-44550</v>
      </c>
      <c r="E151" s="90">
        <f t="shared" si="22"/>
        <v>-1782</v>
      </c>
      <c r="F151" s="90">
        <f t="shared" si="22"/>
        <v>-44550</v>
      </c>
      <c r="G151" s="90">
        <f t="shared" si="22"/>
        <v>-8910</v>
      </c>
      <c r="H151" s="90">
        <f t="shared" si="21"/>
        <v>-8910</v>
      </c>
      <c r="I151" s="90">
        <f t="shared" si="21"/>
        <v>-8910</v>
      </c>
      <c r="J151" s="90">
        <f t="shared" si="21"/>
        <v>-1782</v>
      </c>
      <c r="K151" s="90">
        <f t="shared" si="21"/>
        <v>-8910</v>
      </c>
      <c r="L151" s="90">
        <f t="shared" si="21"/>
        <v>-3564</v>
      </c>
    </row>
    <row r="152" spans="2:12" x14ac:dyDescent="0.25">
      <c r="B152">
        <f t="shared" si="20"/>
        <v>110</v>
      </c>
      <c r="C152" s="90">
        <f t="shared" si="22"/>
        <v>-1780</v>
      </c>
      <c r="D152" s="90">
        <f t="shared" si="22"/>
        <v>-44500</v>
      </c>
      <c r="E152" s="90">
        <f t="shared" si="22"/>
        <v>-1780</v>
      </c>
      <c r="F152" s="90">
        <f t="shared" si="22"/>
        <v>-44500</v>
      </c>
      <c r="G152" s="90">
        <f t="shared" si="22"/>
        <v>-8900</v>
      </c>
      <c r="H152" s="90">
        <f t="shared" si="21"/>
        <v>-8900</v>
      </c>
      <c r="I152" s="90">
        <f t="shared" si="21"/>
        <v>-8900</v>
      </c>
      <c r="J152" s="90">
        <f t="shared" si="21"/>
        <v>-1780</v>
      </c>
      <c r="K152" s="90">
        <f t="shared" si="21"/>
        <v>-8900</v>
      </c>
      <c r="L152" s="90">
        <f t="shared" si="21"/>
        <v>-3560</v>
      </c>
    </row>
    <row r="153" spans="2:12" x14ac:dyDescent="0.25">
      <c r="B153">
        <f t="shared" si="20"/>
        <v>111</v>
      </c>
      <c r="C153" s="90">
        <f t="shared" si="22"/>
        <v>-1778</v>
      </c>
      <c r="D153" s="90">
        <f t="shared" si="22"/>
        <v>-44450</v>
      </c>
      <c r="E153" s="90">
        <f t="shared" si="22"/>
        <v>-1778</v>
      </c>
      <c r="F153" s="90">
        <f t="shared" si="22"/>
        <v>-44450</v>
      </c>
      <c r="G153" s="90">
        <f t="shared" si="22"/>
        <v>-8890</v>
      </c>
      <c r="H153" s="90">
        <f t="shared" si="21"/>
        <v>-8890</v>
      </c>
      <c r="I153" s="90">
        <f t="shared" si="21"/>
        <v>-8890</v>
      </c>
      <c r="J153" s="90">
        <f t="shared" si="21"/>
        <v>-1778</v>
      </c>
      <c r="K153" s="90">
        <f t="shared" si="21"/>
        <v>-8890</v>
      </c>
      <c r="L153" s="90">
        <f t="shared" si="21"/>
        <v>-3556</v>
      </c>
    </row>
    <row r="154" spans="2:12" x14ac:dyDescent="0.25">
      <c r="B154">
        <f t="shared" si="20"/>
        <v>112</v>
      </c>
      <c r="C154" s="90">
        <f t="shared" si="22"/>
        <v>-1776</v>
      </c>
      <c r="D154" s="90">
        <f t="shared" si="22"/>
        <v>-44400</v>
      </c>
      <c r="E154" s="90">
        <f t="shared" si="22"/>
        <v>-1776</v>
      </c>
      <c r="F154" s="90">
        <f t="shared" si="22"/>
        <v>-44400</v>
      </c>
      <c r="G154" s="90">
        <f t="shared" si="22"/>
        <v>-8880</v>
      </c>
      <c r="H154" s="90">
        <f t="shared" si="21"/>
        <v>-8880</v>
      </c>
      <c r="I154" s="90">
        <f t="shared" si="21"/>
        <v>-8880</v>
      </c>
      <c r="J154" s="90">
        <f t="shared" si="21"/>
        <v>-1776</v>
      </c>
      <c r="K154" s="90">
        <f t="shared" si="21"/>
        <v>-8880</v>
      </c>
      <c r="L154" s="90">
        <f t="shared" si="21"/>
        <v>-3552</v>
      </c>
    </row>
    <row r="155" spans="2:12" x14ac:dyDescent="0.25">
      <c r="B155">
        <f t="shared" si="20"/>
        <v>113</v>
      </c>
      <c r="C155" s="90">
        <f t="shared" si="22"/>
        <v>-1774</v>
      </c>
      <c r="D155" s="90">
        <f t="shared" si="22"/>
        <v>-44350</v>
      </c>
      <c r="E155" s="90">
        <f t="shared" si="22"/>
        <v>-1774</v>
      </c>
      <c r="F155" s="90">
        <f t="shared" si="22"/>
        <v>-44350</v>
      </c>
      <c r="G155" s="90">
        <f t="shared" si="22"/>
        <v>-8870</v>
      </c>
      <c r="H155" s="90">
        <f t="shared" si="21"/>
        <v>-8870</v>
      </c>
      <c r="I155" s="90">
        <f t="shared" si="21"/>
        <v>-8870</v>
      </c>
      <c r="J155" s="90">
        <f t="shared" si="21"/>
        <v>-1774</v>
      </c>
      <c r="K155" s="90">
        <f t="shared" si="21"/>
        <v>-8870</v>
      </c>
      <c r="L155" s="90">
        <f t="shared" si="21"/>
        <v>-3548</v>
      </c>
    </row>
    <row r="156" spans="2:12" x14ac:dyDescent="0.25">
      <c r="B156">
        <f t="shared" si="20"/>
        <v>114</v>
      </c>
      <c r="C156" s="90">
        <f t="shared" si="22"/>
        <v>-1772</v>
      </c>
      <c r="D156" s="90">
        <f t="shared" si="22"/>
        <v>-44300</v>
      </c>
      <c r="E156" s="90">
        <f t="shared" si="22"/>
        <v>-1772</v>
      </c>
      <c r="F156" s="90">
        <f t="shared" si="22"/>
        <v>-44300</v>
      </c>
      <c r="G156" s="90">
        <f t="shared" si="22"/>
        <v>-8860</v>
      </c>
      <c r="H156" s="90">
        <f t="shared" si="21"/>
        <v>-8860</v>
      </c>
      <c r="I156" s="90">
        <f t="shared" si="21"/>
        <v>-8860</v>
      </c>
      <c r="J156" s="90">
        <f t="shared" si="21"/>
        <v>-1772</v>
      </c>
      <c r="K156" s="90">
        <f t="shared" si="21"/>
        <v>-8860</v>
      </c>
      <c r="L156" s="90">
        <f t="shared" si="21"/>
        <v>-3544</v>
      </c>
    </row>
    <row r="157" spans="2:12" x14ac:dyDescent="0.25">
      <c r="B157">
        <f t="shared" si="20"/>
        <v>115</v>
      </c>
      <c r="C157" s="90">
        <f t="shared" si="22"/>
        <v>-1770</v>
      </c>
      <c r="D157" s="90">
        <f t="shared" si="22"/>
        <v>-44250</v>
      </c>
      <c r="E157" s="90">
        <f t="shared" si="22"/>
        <v>-1770</v>
      </c>
      <c r="F157" s="90">
        <f t="shared" si="22"/>
        <v>-44250</v>
      </c>
      <c r="G157" s="90">
        <f t="shared" si="22"/>
        <v>-8850</v>
      </c>
      <c r="H157" s="90">
        <f t="shared" si="21"/>
        <v>-8850</v>
      </c>
      <c r="I157" s="90">
        <f t="shared" si="21"/>
        <v>-8850</v>
      </c>
      <c r="J157" s="90">
        <f t="shared" si="21"/>
        <v>-1770</v>
      </c>
      <c r="K157" s="90">
        <f t="shared" si="21"/>
        <v>-8850</v>
      </c>
      <c r="L157" s="90">
        <f t="shared" si="21"/>
        <v>-3540</v>
      </c>
    </row>
    <row r="158" spans="2:12" x14ac:dyDescent="0.25">
      <c r="B158">
        <f t="shared" si="20"/>
        <v>116</v>
      </c>
      <c r="C158" s="90">
        <f t="shared" si="22"/>
        <v>-1768</v>
      </c>
      <c r="D158" s="90">
        <f t="shared" si="22"/>
        <v>-44200</v>
      </c>
      <c r="E158" s="90">
        <f t="shared" si="22"/>
        <v>-1768</v>
      </c>
      <c r="F158" s="90">
        <f t="shared" si="22"/>
        <v>-44200</v>
      </c>
      <c r="G158" s="90">
        <f t="shared" si="22"/>
        <v>-8840</v>
      </c>
      <c r="H158" s="90">
        <f t="shared" si="21"/>
        <v>-8840</v>
      </c>
      <c r="I158" s="90">
        <f t="shared" si="21"/>
        <v>-8840</v>
      </c>
      <c r="J158" s="90">
        <f t="shared" si="21"/>
        <v>-1768</v>
      </c>
      <c r="K158" s="90">
        <f t="shared" si="21"/>
        <v>-8840</v>
      </c>
      <c r="L158" s="90">
        <f t="shared" si="21"/>
        <v>-3536</v>
      </c>
    </row>
    <row r="159" spans="2:12" x14ac:dyDescent="0.25">
      <c r="B159">
        <f t="shared" si="20"/>
        <v>117</v>
      </c>
      <c r="C159" s="90">
        <f t="shared" si="22"/>
        <v>-1766</v>
      </c>
      <c r="D159" s="90">
        <f t="shared" si="22"/>
        <v>-44150</v>
      </c>
      <c r="E159" s="90">
        <f t="shared" si="22"/>
        <v>-1766</v>
      </c>
      <c r="F159" s="90">
        <f t="shared" si="22"/>
        <v>-44150</v>
      </c>
      <c r="G159" s="90">
        <f t="shared" si="22"/>
        <v>-8830</v>
      </c>
      <c r="H159" s="90">
        <f t="shared" ref="H159:L209" si="23">H158+H$40</f>
        <v>-8830</v>
      </c>
      <c r="I159" s="90">
        <f t="shared" si="23"/>
        <v>-8830</v>
      </c>
      <c r="J159" s="90">
        <f t="shared" si="23"/>
        <v>-1766</v>
      </c>
      <c r="K159" s="90">
        <f t="shared" si="23"/>
        <v>-8830</v>
      </c>
      <c r="L159" s="90">
        <f t="shared" si="23"/>
        <v>-3532</v>
      </c>
    </row>
    <row r="160" spans="2:12" x14ac:dyDescent="0.25">
      <c r="B160">
        <f t="shared" si="20"/>
        <v>118</v>
      </c>
      <c r="C160" s="90">
        <f t="shared" ref="C160:G210" si="24">C159+C$40</f>
        <v>-1764</v>
      </c>
      <c r="D160" s="90">
        <f t="shared" si="24"/>
        <v>-44100</v>
      </c>
      <c r="E160" s="90">
        <f t="shared" si="24"/>
        <v>-1764</v>
      </c>
      <c r="F160" s="90">
        <f t="shared" si="24"/>
        <v>-44100</v>
      </c>
      <c r="G160" s="90">
        <f t="shared" si="24"/>
        <v>-8820</v>
      </c>
      <c r="H160" s="90">
        <f t="shared" si="23"/>
        <v>-8820</v>
      </c>
      <c r="I160" s="90">
        <f t="shared" si="23"/>
        <v>-8820</v>
      </c>
      <c r="J160" s="90">
        <f t="shared" si="23"/>
        <v>-1764</v>
      </c>
      <c r="K160" s="90">
        <f t="shared" si="23"/>
        <v>-8820</v>
      </c>
      <c r="L160" s="90">
        <f t="shared" si="23"/>
        <v>-3528</v>
      </c>
    </row>
    <row r="161" spans="2:12" x14ac:dyDescent="0.25">
      <c r="B161">
        <f t="shared" si="20"/>
        <v>119</v>
      </c>
      <c r="C161" s="90">
        <f t="shared" si="24"/>
        <v>-1762</v>
      </c>
      <c r="D161" s="90">
        <f t="shared" si="24"/>
        <v>-44050</v>
      </c>
      <c r="E161" s="90">
        <f t="shared" si="24"/>
        <v>-1762</v>
      </c>
      <c r="F161" s="90">
        <f t="shared" si="24"/>
        <v>-44050</v>
      </c>
      <c r="G161" s="90">
        <f t="shared" si="24"/>
        <v>-8810</v>
      </c>
      <c r="H161" s="90">
        <f t="shared" si="23"/>
        <v>-8810</v>
      </c>
      <c r="I161" s="90">
        <f t="shared" si="23"/>
        <v>-8810</v>
      </c>
      <c r="J161" s="90">
        <f t="shared" si="23"/>
        <v>-1762</v>
      </c>
      <c r="K161" s="90">
        <f t="shared" si="23"/>
        <v>-8810</v>
      </c>
      <c r="L161" s="90">
        <f t="shared" si="23"/>
        <v>-3524</v>
      </c>
    </row>
    <row r="162" spans="2:12" x14ac:dyDescent="0.25">
      <c r="B162">
        <f t="shared" si="20"/>
        <v>120</v>
      </c>
      <c r="C162" s="90">
        <f t="shared" si="24"/>
        <v>-1760</v>
      </c>
      <c r="D162" s="90">
        <f t="shared" si="24"/>
        <v>-44000</v>
      </c>
      <c r="E162" s="90">
        <f t="shared" si="24"/>
        <v>-1760</v>
      </c>
      <c r="F162" s="90">
        <f t="shared" si="24"/>
        <v>-44000</v>
      </c>
      <c r="G162" s="90">
        <f t="shared" si="24"/>
        <v>-8800</v>
      </c>
      <c r="H162" s="90">
        <f t="shared" si="23"/>
        <v>-8800</v>
      </c>
      <c r="I162" s="90">
        <f t="shared" si="23"/>
        <v>-8800</v>
      </c>
      <c r="J162" s="90">
        <f t="shared" si="23"/>
        <v>-1760</v>
      </c>
      <c r="K162" s="90">
        <f t="shared" si="23"/>
        <v>-8800</v>
      </c>
      <c r="L162" s="90">
        <f t="shared" si="23"/>
        <v>-3520</v>
      </c>
    </row>
    <row r="163" spans="2:12" x14ac:dyDescent="0.25">
      <c r="B163">
        <f t="shared" si="20"/>
        <v>121</v>
      </c>
      <c r="C163" s="90">
        <f t="shared" si="24"/>
        <v>-1758</v>
      </c>
      <c r="D163" s="90">
        <f t="shared" si="24"/>
        <v>-43950</v>
      </c>
      <c r="E163" s="90">
        <f t="shared" si="24"/>
        <v>-1758</v>
      </c>
      <c r="F163" s="90">
        <f t="shared" si="24"/>
        <v>-43950</v>
      </c>
      <c r="G163" s="90">
        <f t="shared" si="24"/>
        <v>-8790</v>
      </c>
      <c r="H163" s="90">
        <f t="shared" si="23"/>
        <v>-8790</v>
      </c>
      <c r="I163" s="90">
        <f t="shared" si="23"/>
        <v>-8790</v>
      </c>
      <c r="J163" s="90">
        <f t="shared" si="23"/>
        <v>-1758</v>
      </c>
      <c r="K163" s="90">
        <f t="shared" si="23"/>
        <v>-8790</v>
      </c>
      <c r="L163" s="90">
        <f t="shared" si="23"/>
        <v>-3516</v>
      </c>
    </row>
    <row r="164" spans="2:12" x14ac:dyDescent="0.25">
      <c r="B164">
        <f t="shared" si="20"/>
        <v>122</v>
      </c>
      <c r="C164" s="90">
        <f t="shared" si="24"/>
        <v>-1756</v>
      </c>
      <c r="D164" s="90">
        <f t="shared" si="24"/>
        <v>-43900</v>
      </c>
      <c r="E164" s="90">
        <f t="shared" si="24"/>
        <v>-1756</v>
      </c>
      <c r="F164" s="90">
        <f t="shared" si="24"/>
        <v>-43900</v>
      </c>
      <c r="G164" s="90">
        <f t="shared" si="24"/>
        <v>-8780</v>
      </c>
      <c r="H164" s="90">
        <f t="shared" si="23"/>
        <v>-8780</v>
      </c>
      <c r="I164" s="90">
        <f t="shared" si="23"/>
        <v>-8780</v>
      </c>
      <c r="J164" s="90">
        <f t="shared" si="23"/>
        <v>-1756</v>
      </c>
      <c r="K164" s="90">
        <f t="shared" si="23"/>
        <v>-8780</v>
      </c>
      <c r="L164" s="90">
        <f t="shared" si="23"/>
        <v>-3512</v>
      </c>
    </row>
    <row r="165" spans="2:12" x14ac:dyDescent="0.25">
      <c r="B165">
        <f t="shared" si="20"/>
        <v>123</v>
      </c>
      <c r="C165" s="90">
        <f t="shared" si="24"/>
        <v>-1754</v>
      </c>
      <c r="D165" s="90">
        <f t="shared" si="24"/>
        <v>-43850</v>
      </c>
      <c r="E165" s="90">
        <f t="shared" si="24"/>
        <v>-1754</v>
      </c>
      <c r="F165" s="90">
        <f t="shared" si="24"/>
        <v>-43850</v>
      </c>
      <c r="G165" s="90">
        <f t="shared" si="24"/>
        <v>-8770</v>
      </c>
      <c r="H165" s="90">
        <f t="shared" si="23"/>
        <v>-8770</v>
      </c>
      <c r="I165" s="90">
        <f t="shared" si="23"/>
        <v>-8770</v>
      </c>
      <c r="J165" s="90">
        <f t="shared" si="23"/>
        <v>-1754</v>
      </c>
      <c r="K165" s="90">
        <f t="shared" si="23"/>
        <v>-8770</v>
      </c>
      <c r="L165" s="90">
        <f t="shared" si="23"/>
        <v>-3508</v>
      </c>
    </row>
    <row r="166" spans="2:12" x14ac:dyDescent="0.25">
      <c r="B166">
        <f t="shared" si="20"/>
        <v>124</v>
      </c>
      <c r="C166" s="90">
        <f t="shared" si="24"/>
        <v>-1752</v>
      </c>
      <c r="D166" s="90">
        <f t="shared" si="24"/>
        <v>-43800</v>
      </c>
      <c r="E166" s="90">
        <f t="shared" si="24"/>
        <v>-1752</v>
      </c>
      <c r="F166" s="90">
        <f t="shared" si="24"/>
        <v>-43800</v>
      </c>
      <c r="G166" s="90">
        <f t="shared" si="24"/>
        <v>-8760</v>
      </c>
      <c r="H166" s="90">
        <f t="shared" si="23"/>
        <v>-8760</v>
      </c>
      <c r="I166" s="90">
        <f t="shared" si="23"/>
        <v>-8760</v>
      </c>
      <c r="J166" s="90">
        <f t="shared" si="23"/>
        <v>-1752</v>
      </c>
      <c r="K166" s="90">
        <f t="shared" si="23"/>
        <v>-8760</v>
      </c>
      <c r="L166" s="90">
        <f t="shared" si="23"/>
        <v>-3504</v>
      </c>
    </row>
    <row r="167" spans="2:12" x14ac:dyDescent="0.25">
      <c r="B167">
        <f t="shared" si="20"/>
        <v>125</v>
      </c>
      <c r="C167" s="90">
        <f t="shared" si="24"/>
        <v>-1750</v>
      </c>
      <c r="D167" s="90">
        <f t="shared" si="24"/>
        <v>-43750</v>
      </c>
      <c r="E167" s="90">
        <f t="shared" si="24"/>
        <v>-1750</v>
      </c>
      <c r="F167" s="90">
        <f t="shared" si="24"/>
        <v>-43750</v>
      </c>
      <c r="G167" s="90">
        <f t="shared" si="24"/>
        <v>-8750</v>
      </c>
      <c r="H167" s="90">
        <f t="shared" si="23"/>
        <v>-8750</v>
      </c>
      <c r="I167" s="90">
        <f t="shared" si="23"/>
        <v>-8750</v>
      </c>
      <c r="J167" s="90">
        <f t="shared" si="23"/>
        <v>-1750</v>
      </c>
      <c r="K167" s="90">
        <f t="shared" si="23"/>
        <v>-8750</v>
      </c>
      <c r="L167" s="90">
        <f t="shared" si="23"/>
        <v>-3500</v>
      </c>
    </row>
    <row r="168" spans="2:12" x14ac:dyDescent="0.25">
      <c r="B168">
        <f t="shared" si="20"/>
        <v>126</v>
      </c>
      <c r="C168" s="90">
        <f t="shared" si="24"/>
        <v>-1748</v>
      </c>
      <c r="D168" s="90">
        <f t="shared" si="24"/>
        <v>-43700</v>
      </c>
      <c r="E168" s="90">
        <f t="shared" si="24"/>
        <v>-1748</v>
      </c>
      <c r="F168" s="90">
        <f t="shared" si="24"/>
        <v>-43700</v>
      </c>
      <c r="G168" s="90">
        <f t="shared" si="24"/>
        <v>-8740</v>
      </c>
      <c r="H168" s="90">
        <f t="shared" si="23"/>
        <v>-8740</v>
      </c>
      <c r="I168" s="90">
        <f t="shared" si="23"/>
        <v>-8740</v>
      </c>
      <c r="J168" s="90">
        <f t="shared" si="23"/>
        <v>-1748</v>
      </c>
      <c r="K168" s="90">
        <f t="shared" si="23"/>
        <v>-8740</v>
      </c>
      <c r="L168" s="90">
        <f t="shared" si="23"/>
        <v>-3496</v>
      </c>
    </row>
    <row r="169" spans="2:12" x14ac:dyDescent="0.25">
      <c r="B169">
        <f t="shared" si="20"/>
        <v>127</v>
      </c>
      <c r="C169" s="90">
        <f t="shared" si="24"/>
        <v>-1746</v>
      </c>
      <c r="D169" s="90">
        <f t="shared" si="24"/>
        <v>-43650</v>
      </c>
      <c r="E169" s="90">
        <f t="shared" si="24"/>
        <v>-1746</v>
      </c>
      <c r="F169" s="90">
        <f t="shared" si="24"/>
        <v>-43650</v>
      </c>
      <c r="G169" s="90">
        <f t="shared" si="24"/>
        <v>-8730</v>
      </c>
      <c r="H169" s="90">
        <f t="shared" si="23"/>
        <v>-8730</v>
      </c>
      <c r="I169" s="90">
        <f t="shared" si="23"/>
        <v>-8730</v>
      </c>
      <c r="J169" s="90">
        <f t="shared" si="23"/>
        <v>-1746</v>
      </c>
      <c r="K169" s="90">
        <f t="shared" si="23"/>
        <v>-8730</v>
      </c>
      <c r="L169" s="90">
        <f t="shared" si="23"/>
        <v>-3492</v>
      </c>
    </row>
    <row r="170" spans="2:12" x14ac:dyDescent="0.25">
      <c r="B170">
        <f t="shared" si="20"/>
        <v>128</v>
      </c>
      <c r="C170" s="90">
        <f t="shared" si="24"/>
        <v>-1744</v>
      </c>
      <c r="D170" s="90">
        <f t="shared" si="24"/>
        <v>-43600</v>
      </c>
      <c r="E170" s="90">
        <f t="shared" si="24"/>
        <v>-1744</v>
      </c>
      <c r="F170" s="90">
        <f t="shared" si="24"/>
        <v>-43600</v>
      </c>
      <c r="G170" s="90">
        <f t="shared" si="24"/>
        <v>-8720</v>
      </c>
      <c r="H170" s="90">
        <f t="shared" si="23"/>
        <v>-8720</v>
      </c>
      <c r="I170" s="90">
        <f t="shared" si="23"/>
        <v>-8720</v>
      </c>
      <c r="J170" s="90">
        <f t="shared" si="23"/>
        <v>-1744</v>
      </c>
      <c r="K170" s="90">
        <f t="shared" si="23"/>
        <v>-8720</v>
      </c>
      <c r="L170" s="90">
        <f t="shared" si="23"/>
        <v>-3488</v>
      </c>
    </row>
    <row r="171" spans="2:12" x14ac:dyDescent="0.25">
      <c r="B171">
        <f t="shared" si="20"/>
        <v>129</v>
      </c>
      <c r="C171" s="90">
        <f t="shared" si="24"/>
        <v>-1742</v>
      </c>
      <c r="D171" s="90">
        <f t="shared" si="24"/>
        <v>-43550</v>
      </c>
      <c r="E171" s="90">
        <f t="shared" si="24"/>
        <v>-1742</v>
      </c>
      <c r="F171" s="90">
        <f t="shared" si="24"/>
        <v>-43550</v>
      </c>
      <c r="G171" s="90">
        <f t="shared" si="24"/>
        <v>-8710</v>
      </c>
      <c r="H171" s="90">
        <f t="shared" si="23"/>
        <v>-8710</v>
      </c>
      <c r="I171" s="90">
        <f t="shared" si="23"/>
        <v>-8710</v>
      </c>
      <c r="J171" s="90">
        <f t="shared" si="23"/>
        <v>-1742</v>
      </c>
      <c r="K171" s="90">
        <f t="shared" si="23"/>
        <v>-8710</v>
      </c>
      <c r="L171" s="90">
        <f t="shared" si="23"/>
        <v>-3484</v>
      </c>
    </row>
    <row r="172" spans="2:12" x14ac:dyDescent="0.25">
      <c r="B172">
        <f t="shared" ref="B172:B235" si="25">B171+1</f>
        <v>130</v>
      </c>
      <c r="C172" s="90">
        <f t="shared" si="24"/>
        <v>-1740</v>
      </c>
      <c r="D172" s="90">
        <f t="shared" si="24"/>
        <v>-43500</v>
      </c>
      <c r="E172" s="90">
        <f t="shared" si="24"/>
        <v>-1740</v>
      </c>
      <c r="F172" s="90">
        <f t="shared" si="24"/>
        <v>-43500</v>
      </c>
      <c r="G172" s="90">
        <f t="shared" si="24"/>
        <v>-8700</v>
      </c>
      <c r="H172" s="90">
        <f t="shared" si="23"/>
        <v>-8700</v>
      </c>
      <c r="I172" s="90">
        <f t="shared" si="23"/>
        <v>-8700</v>
      </c>
      <c r="J172" s="90">
        <f t="shared" si="23"/>
        <v>-1740</v>
      </c>
      <c r="K172" s="90">
        <f t="shared" si="23"/>
        <v>-8700</v>
      </c>
      <c r="L172" s="90">
        <f t="shared" si="23"/>
        <v>-3480</v>
      </c>
    </row>
    <row r="173" spans="2:12" x14ac:dyDescent="0.25">
      <c r="B173">
        <f t="shared" si="25"/>
        <v>131</v>
      </c>
      <c r="C173" s="90">
        <f t="shared" si="24"/>
        <v>-1738</v>
      </c>
      <c r="D173" s="90">
        <f t="shared" si="24"/>
        <v>-43450</v>
      </c>
      <c r="E173" s="90">
        <f t="shared" si="24"/>
        <v>-1738</v>
      </c>
      <c r="F173" s="90">
        <f t="shared" si="24"/>
        <v>-43450</v>
      </c>
      <c r="G173" s="90">
        <f t="shared" si="24"/>
        <v>-8690</v>
      </c>
      <c r="H173" s="90">
        <f t="shared" si="23"/>
        <v>-8690</v>
      </c>
      <c r="I173" s="90">
        <f t="shared" si="23"/>
        <v>-8690</v>
      </c>
      <c r="J173" s="90">
        <f t="shared" si="23"/>
        <v>-1738</v>
      </c>
      <c r="K173" s="90">
        <f t="shared" si="23"/>
        <v>-8690</v>
      </c>
      <c r="L173" s="90">
        <f t="shared" si="23"/>
        <v>-3476</v>
      </c>
    </row>
    <row r="174" spans="2:12" x14ac:dyDescent="0.25">
      <c r="B174">
        <f t="shared" si="25"/>
        <v>132</v>
      </c>
      <c r="C174" s="90">
        <f t="shared" si="24"/>
        <v>-1736</v>
      </c>
      <c r="D174" s="90">
        <f t="shared" si="24"/>
        <v>-43400</v>
      </c>
      <c r="E174" s="90">
        <f t="shared" si="24"/>
        <v>-1736</v>
      </c>
      <c r="F174" s="90">
        <f t="shared" si="24"/>
        <v>-43400</v>
      </c>
      <c r="G174" s="90">
        <f t="shared" si="24"/>
        <v>-8680</v>
      </c>
      <c r="H174" s="90">
        <f t="shared" si="23"/>
        <v>-8680</v>
      </c>
      <c r="I174" s="90">
        <f t="shared" si="23"/>
        <v>-8680</v>
      </c>
      <c r="J174" s="90">
        <f t="shared" si="23"/>
        <v>-1736</v>
      </c>
      <c r="K174" s="90">
        <f t="shared" si="23"/>
        <v>-8680</v>
      </c>
      <c r="L174" s="90">
        <f t="shared" si="23"/>
        <v>-3472</v>
      </c>
    </row>
    <row r="175" spans="2:12" x14ac:dyDescent="0.25">
      <c r="B175">
        <f t="shared" si="25"/>
        <v>133</v>
      </c>
      <c r="C175" s="90">
        <f t="shared" si="24"/>
        <v>-1734</v>
      </c>
      <c r="D175" s="90">
        <f t="shared" si="24"/>
        <v>-43350</v>
      </c>
      <c r="E175" s="90">
        <f t="shared" si="24"/>
        <v>-1734</v>
      </c>
      <c r="F175" s="90">
        <f t="shared" si="24"/>
        <v>-43350</v>
      </c>
      <c r="G175" s="90">
        <f t="shared" si="24"/>
        <v>-8670</v>
      </c>
      <c r="H175" s="90">
        <f t="shared" si="23"/>
        <v>-8670</v>
      </c>
      <c r="I175" s="90">
        <f t="shared" si="23"/>
        <v>-8670</v>
      </c>
      <c r="J175" s="90">
        <f t="shared" si="23"/>
        <v>-1734</v>
      </c>
      <c r="K175" s="90">
        <f t="shared" si="23"/>
        <v>-8670</v>
      </c>
      <c r="L175" s="90">
        <f t="shared" si="23"/>
        <v>-3468</v>
      </c>
    </row>
    <row r="176" spans="2:12" x14ac:dyDescent="0.25">
      <c r="B176">
        <f t="shared" si="25"/>
        <v>134</v>
      </c>
      <c r="C176" s="90">
        <f t="shared" si="24"/>
        <v>-1732</v>
      </c>
      <c r="D176" s="90">
        <f t="shared" si="24"/>
        <v>-43300</v>
      </c>
      <c r="E176" s="90">
        <f t="shared" si="24"/>
        <v>-1732</v>
      </c>
      <c r="F176" s="90">
        <f t="shared" si="24"/>
        <v>-43300</v>
      </c>
      <c r="G176" s="90">
        <f t="shared" si="24"/>
        <v>-8660</v>
      </c>
      <c r="H176" s="90">
        <f t="shared" si="23"/>
        <v>-8660</v>
      </c>
      <c r="I176" s="90">
        <f t="shared" si="23"/>
        <v>-8660</v>
      </c>
      <c r="J176" s="90">
        <f t="shared" si="23"/>
        <v>-1732</v>
      </c>
      <c r="K176" s="90">
        <f t="shared" si="23"/>
        <v>-8660</v>
      </c>
      <c r="L176" s="90">
        <f t="shared" si="23"/>
        <v>-3464</v>
      </c>
    </row>
    <row r="177" spans="2:12" x14ac:dyDescent="0.25">
      <c r="B177">
        <f t="shared" si="25"/>
        <v>135</v>
      </c>
      <c r="C177" s="90">
        <f t="shared" si="24"/>
        <v>-1730</v>
      </c>
      <c r="D177" s="90">
        <f t="shared" si="24"/>
        <v>-43250</v>
      </c>
      <c r="E177" s="90">
        <f t="shared" si="24"/>
        <v>-1730</v>
      </c>
      <c r="F177" s="90">
        <f t="shared" si="24"/>
        <v>-43250</v>
      </c>
      <c r="G177" s="90">
        <f t="shared" si="24"/>
        <v>-8650</v>
      </c>
      <c r="H177" s="90">
        <f t="shared" si="23"/>
        <v>-8650</v>
      </c>
      <c r="I177" s="90">
        <f t="shared" si="23"/>
        <v>-8650</v>
      </c>
      <c r="J177" s="90">
        <f t="shared" si="23"/>
        <v>-1730</v>
      </c>
      <c r="K177" s="90">
        <f t="shared" si="23"/>
        <v>-8650</v>
      </c>
      <c r="L177" s="90">
        <f t="shared" si="23"/>
        <v>-3460</v>
      </c>
    </row>
    <row r="178" spans="2:12" x14ac:dyDescent="0.25">
      <c r="B178">
        <f t="shared" si="25"/>
        <v>136</v>
      </c>
      <c r="C178" s="90">
        <f t="shared" si="24"/>
        <v>-1728</v>
      </c>
      <c r="D178" s="90">
        <f t="shared" si="24"/>
        <v>-43200</v>
      </c>
      <c r="E178" s="90">
        <f t="shared" si="24"/>
        <v>-1728</v>
      </c>
      <c r="F178" s="90">
        <f t="shared" si="24"/>
        <v>-43200</v>
      </c>
      <c r="G178" s="90">
        <f t="shared" si="24"/>
        <v>-8640</v>
      </c>
      <c r="H178" s="90">
        <f t="shared" si="23"/>
        <v>-8640</v>
      </c>
      <c r="I178" s="90">
        <f t="shared" si="23"/>
        <v>-8640</v>
      </c>
      <c r="J178" s="90">
        <f t="shared" si="23"/>
        <v>-1728</v>
      </c>
      <c r="K178" s="90">
        <f t="shared" si="23"/>
        <v>-8640</v>
      </c>
      <c r="L178" s="90">
        <f t="shared" si="23"/>
        <v>-3456</v>
      </c>
    </row>
    <row r="179" spans="2:12" x14ac:dyDescent="0.25">
      <c r="B179">
        <f t="shared" si="25"/>
        <v>137</v>
      </c>
      <c r="C179" s="90">
        <f t="shared" si="24"/>
        <v>-1726</v>
      </c>
      <c r="D179" s="90">
        <f t="shared" si="24"/>
        <v>-43150</v>
      </c>
      <c r="E179" s="90">
        <f t="shared" si="24"/>
        <v>-1726</v>
      </c>
      <c r="F179" s="90">
        <f t="shared" si="24"/>
        <v>-43150</v>
      </c>
      <c r="G179" s="90">
        <f t="shared" si="24"/>
        <v>-8630</v>
      </c>
      <c r="H179" s="90">
        <f t="shared" si="23"/>
        <v>-8630</v>
      </c>
      <c r="I179" s="90">
        <f t="shared" si="23"/>
        <v>-8630</v>
      </c>
      <c r="J179" s="90">
        <f t="shared" si="23"/>
        <v>-1726</v>
      </c>
      <c r="K179" s="90">
        <f t="shared" si="23"/>
        <v>-8630</v>
      </c>
      <c r="L179" s="90">
        <f t="shared" si="23"/>
        <v>-3452</v>
      </c>
    </row>
    <row r="180" spans="2:12" x14ac:dyDescent="0.25">
      <c r="B180">
        <f t="shared" si="25"/>
        <v>138</v>
      </c>
      <c r="C180" s="90">
        <f t="shared" si="24"/>
        <v>-1724</v>
      </c>
      <c r="D180" s="90">
        <f t="shared" si="24"/>
        <v>-43100</v>
      </c>
      <c r="E180" s="90">
        <f t="shared" si="24"/>
        <v>-1724</v>
      </c>
      <c r="F180" s="90">
        <f t="shared" si="24"/>
        <v>-43100</v>
      </c>
      <c r="G180" s="90">
        <f t="shared" si="24"/>
        <v>-8620</v>
      </c>
      <c r="H180" s="90">
        <f t="shared" si="23"/>
        <v>-8620</v>
      </c>
      <c r="I180" s="90">
        <f t="shared" si="23"/>
        <v>-8620</v>
      </c>
      <c r="J180" s="90">
        <f t="shared" si="23"/>
        <v>-1724</v>
      </c>
      <c r="K180" s="90">
        <f t="shared" si="23"/>
        <v>-8620</v>
      </c>
      <c r="L180" s="90">
        <f t="shared" si="23"/>
        <v>-3448</v>
      </c>
    </row>
    <row r="181" spans="2:12" x14ac:dyDescent="0.25">
      <c r="B181">
        <f t="shared" si="25"/>
        <v>139</v>
      </c>
      <c r="C181" s="90">
        <f t="shared" si="24"/>
        <v>-1722</v>
      </c>
      <c r="D181" s="90">
        <f t="shared" si="24"/>
        <v>-43050</v>
      </c>
      <c r="E181" s="90">
        <f t="shared" si="24"/>
        <v>-1722</v>
      </c>
      <c r="F181" s="90">
        <f t="shared" si="24"/>
        <v>-43050</v>
      </c>
      <c r="G181" s="90">
        <f t="shared" si="24"/>
        <v>-8610</v>
      </c>
      <c r="H181" s="90">
        <f t="shared" si="23"/>
        <v>-8610</v>
      </c>
      <c r="I181" s="90">
        <f t="shared" si="23"/>
        <v>-8610</v>
      </c>
      <c r="J181" s="90">
        <f t="shared" si="23"/>
        <v>-1722</v>
      </c>
      <c r="K181" s="90">
        <f t="shared" si="23"/>
        <v>-8610</v>
      </c>
      <c r="L181" s="90">
        <f t="shared" si="23"/>
        <v>-3444</v>
      </c>
    </row>
    <row r="182" spans="2:12" x14ac:dyDescent="0.25">
      <c r="B182">
        <f t="shared" si="25"/>
        <v>140</v>
      </c>
      <c r="C182" s="90">
        <f t="shared" si="24"/>
        <v>-1720</v>
      </c>
      <c r="D182" s="90">
        <f t="shared" si="24"/>
        <v>-43000</v>
      </c>
      <c r="E182" s="90">
        <f t="shared" si="24"/>
        <v>-1720</v>
      </c>
      <c r="F182" s="90">
        <f t="shared" si="24"/>
        <v>-43000</v>
      </c>
      <c r="G182" s="90">
        <f t="shared" si="24"/>
        <v>-8600</v>
      </c>
      <c r="H182" s="90">
        <f t="shared" si="23"/>
        <v>-8600</v>
      </c>
      <c r="I182" s="90">
        <f t="shared" si="23"/>
        <v>-8600</v>
      </c>
      <c r="J182" s="90">
        <f t="shared" si="23"/>
        <v>-1720</v>
      </c>
      <c r="K182" s="90">
        <f t="shared" si="23"/>
        <v>-8600</v>
      </c>
      <c r="L182" s="90">
        <f t="shared" si="23"/>
        <v>-3440</v>
      </c>
    </row>
    <row r="183" spans="2:12" x14ac:dyDescent="0.25">
      <c r="B183">
        <f t="shared" si="25"/>
        <v>141</v>
      </c>
      <c r="C183" s="90">
        <f t="shared" si="24"/>
        <v>-1718</v>
      </c>
      <c r="D183" s="90">
        <f t="shared" si="24"/>
        <v>-42950</v>
      </c>
      <c r="E183" s="90">
        <f t="shared" si="24"/>
        <v>-1718</v>
      </c>
      <c r="F183" s="90">
        <f t="shared" si="24"/>
        <v>-42950</v>
      </c>
      <c r="G183" s="90">
        <f t="shared" si="24"/>
        <v>-8590</v>
      </c>
      <c r="H183" s="90">
        <f t="shared" si="23"/>
        <v>-8590</v>
      </c>
      <c r="I183" s="90">
        <f t="shared" si="23"/>
        <v>-8590</v>
      </c>
      <c r="J183" s="90">
        <f t="shared" si="23"/>
        <v>-1718</v>
      </c>
      <c r="K183" s="90">
        <f t="shared" si="23"/>
        <v>-8590</v>
      </c>
      <c r="L183" s="90">
        <f t="shared" si="23"/>
        <v>-3436</v>
      </c>
    </row>
    <row r="184" spans="2:12" x14ac:dyDescent="0.25">
      <c r="B184">
        <f t="shared" si="25"/>
        <v>142</v>
      </c>
      <c r="C184" s="90">
        <f t="shared" si="24"/>
        <v>-1716</v>
      </c>
      <c r="D184" s="90">
        <f t="shared" si="24"/>
        <v>-42900</v>
      </c>
      <c r="E184" s="90">
        <f t="shared" si="24"/>
        <v>-1716</v>
      </c>
      <c r="F184" s="90">
        <f t="shared" si="24"/>
        <v>-42900</v>
      </c>
      <c r="G184" s="90">
        <f t="shared" si="24"/>
        <v>-8580</v>
      </c>
      <c r="H184" s="90">
        <f t="shared" si="23"/>
        <v>-8580</v>
      </c>
      <c r="I184" s="90">
        <f t="shared" si="23"/>
        <v>-8580</v>
      </c>
      <c r="J184" s="90">
        <f t="shared" si="23"/>
        <v>-1716</v>
      </c>
      <c r="K184" s="90">
        <f t="shared" si="23"/>
        <v>-8580</v>
      </c>
      <c r="L184" s="90">
        <f t="shared" si="23"/>
        <v>-3432</v>
      </c>
    </row>
    <row r="185" spans="2:12" x14ac:dyDescent="0.25">
      <c r="B185">
        <f t="shared" si="25"/>
        <v>143</v>
      </c>
      <c r="C185" s="90">
        <f t="shared" si="24"/>
        <v>-1714</v>
      </c>
      <c r="D185" s="90">
        <f t="shared" si="24"/>
        <v>-42850</v>
      </c>
      <c r="E185" s="90">
        <f t="shared" si="24"/>
        <v>-1714</v>
      </c>
      <c r="F185" s="90">
        <f t="shared" si="24"/>
        <v>-42850</v>
      </c>
      <c r="G185" s="90">
        <f t="shared" si="24"/>
        <v>-8570</v>
      </c>
      <c r="H185" s="90">
        <f t="shared" si="23"/>
        <v>-8570</v>
      </c>
      <c r="I185" s="90">
        <f t="shared" si="23"/>
        <v>-8570</v>
      </c>
      <c r="J185" s="90">
        <f t="shared" si="23"/>
        <v>-1714</v>
      </c>
      <c r="K185" s="90">
        <f t="shared" si="23"/>
        <v>-8570</v>
      </c>
      <c r="L185" s="90">
        <f t="shared" si="23"/>
        <v>-3428</v>
      </c>
    </row>
    <row r="186" spans="2:12" x14ac:dyDescent="0.25">
      <c r="B186">
        <f t="shared" si="25"/>
        <v>144</v>
      </c>
      <c r="C186" s="90">
        <f t="shared" si="24"/>
        <v>-1712</v>
      </c>
      <c r="D186" s="90">
        <f t="shared" si="24"/>
        <v>-42800</v>
      </c>
      <c r="E186" s="90">
        <f t="shared" si="24"/>
        <v>-1712</v>
      </c>
      <c r="F186" s="90">
        <f t="shared" si="24"/>
        <v>-42800</v>
      </c>
      <c r="G186" s="90">
        <f t="shared" si="24"/>
        <v>-8560</v>
      </c>
      <c r="H186" s="90">
        <f t="shared" si="23"/>
        <v>-8560</v>
      </c>
      <c r="I186" s="90">
        <f t="shared" si="23"/>
        <v>-8560</v>
      </c>
      <c r="J186" s="90">
        <f t="shared" si="23"/>
        <v>-1712</v>
      </c>
      <c r="K186" s="90">
        <f t="shared" si="23"/>
        <v>-8560</v>
      </c>
      <c r="L186" s="90">
        <f t="shared" si="23"/>
        <v>-3424</v>
      </c>
    </row>
    <row r="187" spans="2:12" x14ac:dyDescent="0.25">
      <c r="B187">
        <f t="shared" si="25"/>
        <v>145</v>
      </c>
      <c r="C187" s="90">
        <f t="shared" si="24"/>
        <v>-1710</v>
      </c>
      <c r="D187" s="90">
        <f t="shared" si="24"/>
        <v>-42750</v>
      </c>
      <c r="E187" s="90">
        <f t="shared" si="24"/>
        <v>-1710</v>
      </c>
      <c r="F187" s="90">
        <f t="shared" si="24"/>
        <v>-42750</v>
      </c>
      <c r="G187" s="90">
        <f t="shared" si="24"/>
        <v>-8550</v>
      </c>
      <c r="H187" s="90">
        <f t="shared" si="23"/>
        <v>-8550</v>
      </c>
      <c r="I187" s="90">
        <f t="shared" si="23"/>
        <v>-8550</v>
      </c>
      <c r="J187" s="90">
        <f t="shared" si="23"/>
        <v>-1710</v>
      </c>
      <c r="K187" s="90">
        <f t="shared" si="23"/>
        <v>-8550</v>
      </c>
      <c r="L187" s="90">
        <f t="shared" si="23"/>
        <v>-3420</v>
      </c>
    </row>
    <row r="188" spans="2:12" x14ac:dyDescent="0.25">
      <c r="B188">
        <f t="shared" si="25"/>
        <v>146</v>
      </c>
      <c r="C188" s="90">
        <f t="shared" si="24"/>
        <v>-1708</v>
      </c>
      <c r="D188" s="90">
        <f t="shared" si="24"/>
        <v>-42700</v>
      </c>
      <c r="E188" s="90">
        <f t="shared" si="24"/>
        <v>-1708</v>
      </c>
      <c r="F188" s="90">
        <f t="shared" si="24"/>
        <v>-42700</v>
      </c>
      <c r="G188" s="90">
        <f t="shared" si="24"/>
        <v>-8540</v>
      </c>
      <c r="H188" s="90">
        <f t="shared" si="23"/>
        <v>-8540</v>
      </c>
      <c r="I188" s="90">
        <f t="shared" si="23"/>
        <v>-8540</v>
      </c>
      <c r="J188" s="90">
        <f t="shared" si="23"/>
        <v>-1708</v>
      </c>
      <c r="K188" s="90">
        <f t="shared" si="23"/>
        <v>-8540</v>
      </c>
      <c r="L188" s="90">
        <f t="shared" si="23"/>
        <v>-3416</v>
      </c>
    </row>
    <row r="189" spans="2:12" x14ac:dyDescent="0.25">
      <c r="B189">
        <f t="shared" si="25"/>
        <v>147</v>
      </c>
      <c r="C189" s="90">
        <f t="shared" si="24"/>
        <v>-1706</v>
      </c>
      <c r="D189" s="90">
        <f t="shared" si="24"/>
        <v>-42650</v>
      </c>
      <c r="E189" s="90">
        <f t="shared" si="24"/>
        <v>-1706</v>
      </c>
      <c r="F189" s="90">
        <f t="shared" si="24"/>
        <v>-42650</v>
      </c>
      <c r="G189" s="90">
        <f t="shared" si="24"/>
        <v>-8530</v>
      </c>
      <c r="H189" s="90">
        <f t="shared" si="23"/>
        <v>-8530</v>
      </c>
      <c r="I189" s="90">
        <f t="shared" si="23"/>
        <v>-8530</v>
      </c>
      <c r="J189" s="90">
        <f t="shared" si="23"/>
        <v>-1706</v>
      </c>
      <c r="K189" s="90">
        <f t="shared" si="23"/>
        <v>-8530</v>
      </c>
      <c r="L189" s="90">
        <f t="shared" si="23"/>
        <v>-3412</v>
      </c>
    </row>
    <row r="190" spans="2:12" x14ac:dyDescent="0.25">
      <c r="B190">
        <f t="shared" si="25"/>
        <v>148</v>
      </c>
      <c r="C190" s="90">
        <f t="shared" si="24"/>
        <v>-1704</v>
      </c>
      <c r="D190" s="90">
        <f t="shared" si="24"/>
        <v>-42600</v>
      </c>
      <c r="E190" s="90">
        <f t="shared" si="24"/>
        <v>-1704</v>
      </c>
      <c r="F190" s="90">
        <f t="shared" si="24"/>
        <v>-42600</v>
      </c>
      <c r="G190" s="90">
        <f t="shared" si="24"/>
        <v>-8520</v>
      </c>
      <c r="H190" s="90">
        <f t="shared" si="23"/>
        <v>-8520</v>
      </c>
      <c r="I190" s="90">
        <f t="shared" si="23"/>
        <v>-8520</v>
      </c>
      <c r="J190" s="90">
        <f t="shared" si="23"/>
        <v>-1704</v>
      </c>
      <c r="K190" s="90">
        <f t="shared" si="23"/>
        <v>-8520</v>
      </c>
      <c r="L190" s="90">
        <f t="shared" si="23"/>
        <v>-3408</v>
      </c>
    </row>
    <row r="191" spans="2:12" x14ac:dyDescent="0.25">
      <c r="B191">
        <f t="shared" si="25"/>
        <v>149</v>
      </c>
      <c r="C191" s="90">
        <f t="shared" si="24"/>
        <v>-1702</v>
      </c>
      <c r="D191" s="90">
        <f t="shared" si="24"/>
        <v>-42550</v>
      </c>
      <c r="E191" s="90">
        <f t="shared" si="24"/>
        <v>-1702</v>
      </c>
      <c r="F191" s="90">
        <f t="shared" si="24"/>
        <v>-42550</v>
      </c>
      <c r="G191" s="90">
        <f t="shared" si="24"/>
        <v>-8510</v>
      </c>
      <c r="H191" s="90">
        <f t="shared" si="23"/>
        <v>-8510</v>
      </c>
      <c r="I191" s="90">
        <f t="shared" si="23"/>
        <v>-8510</v>
      </c>
      <c r="J191" s="90">
        <f t="shared" si="23"/>
        <v>-1702</v>
      </c>
      <c r="K191" s="90">
        <f t="shared" si="23"/>
        <v>-8510</v>
      </c>
      <c r="L191" s="90">
        <f t="shared" si="23"/>
        <v>-3404</v>
      </c>
    </row>
    <row r="192" spans="2:12" x14ac:dyDescent="0.25">
      <c r="B192">
        <f t="shared" si="25"/>
        <v>150</v>
      </c>
      <c r="C192" s="90">
        <f t="shared" si="24"/>
        <v>-1700</v>
      </c>
      <c r="D192" s="90">
        <f t="shared" si="24"/>
        <v>-42500</v>
      </c>
      <c r="E192" s="90">
        <f t="shared" si="24"/>
        <v>-1700</v>
      </c>
      <c r="F192" s="90">
        <f t="shared" si="24"/>
        <v>-42500</v>
      </c>
      <c r="G192" s="90">
        <f t="shared" si="24"/>
        <v>-8500</v>
      </c>
      <c r="H192" s="90">
        <f t="shared" si="23"/>
        <v>-8500</v>
      </c>
      <c r="I192" s="90">
        <f t="shared" si="23"/>
        <v>-8500</v>
      </c>
      <c r="J192" s="90">
        <f t="shared" si="23"/>
        <v>-1700</v>
      </c>
      <c r="K192" s="90">
        <f t="shared" si="23"/>
        <v>-8500</v>
      </c>
      <c r="L192" s="90">
        <f t="shared" si="23"/>
        <v>-3400</v>
      </c>
    </row>
    <row r="193" spans="2:12" x14ac:dyDescent="0.25">
      <c r="B193">
        <f t="shared" si="25"/>
        <v>151</v>
      </c>
      <c r="C193" s="90">
        <f t="shared" si="24"/>
        <v>-1698</v>
      </c>
      <c r="D193" s="90">
        <f t="shared" si="24"/>
        <v>-42450</v>
      </c>
      <c r="E193" s="90">
        <f t="shared" si="24"/>
        <v>-1698</v>
      </c>
      <c r="F193" s="90">
        <f t="shared" si="24"/>
        <v>-42450</v>
      </c>
      <c r="G193" s="90">
        <f t="shared" si="24"/>
        <v>-8490</v>
      </c>
      <c r="H193" s="90">
        <f t="shared" si="23"/>
        <v>-8490</v>
      </c>
      <c r="I193" s="90">
        <f t="shared" si="23"/>
        <v>-8490</v>
      </c>
      <c r="J193" s="90">
        <f t="shared" si="23"/>
        <v>-1698</v>
      </c>
      <c r="K193" s="90">
        <f t="shared" si="23"/>
        <v>-8490</v>
      </c>
      <c r="L193" s="90">
        <f t="shared" si="23"/>
        <v>-3396</v>
      </c>
    </row>
    <row r="194" spans="2:12" x14ac:dyDescent="0.25">
      <c r="B194">
        <f t="shared" si="25"/>
        <v>152</v>
      </c>
      <c r="C194" s="90">
        <f t="shared" si="24"/>
        <v>-1696</v>
      </c>
      <c r="D194" s="90">
        <f t="shared" si="24"/>
        <v>-42400</v>
      </c>
      <c r="E194" s="90">
        <f t="shared" si="24"/>
        <v>-1696</v>
      </c>
      <c r="F194" s="90">
        <f t="shared" si="24"/>
        <v>-42400</v>
      </c>
      <c r="G194" s="90">
        <f t="shared" si="24"/>
        <v>-8480</v>
      </c>
      <c r="H194" s="90">
        <f t="shared" si="23"/>
        <v>-8480</v>
      </c>
      <c r="I194" s="90">
        <f t="shared" si="23"/>
        <v>-8480</v>
      </c>
      <c r="J194" s="90">
        <f t="shared" si="23"/>
        <v>-1696</v>
      </c>
      <c r="K194" s="90">
        <f t="shared" si="23"/>
        <v>-8480</v>
      </c>
      <c r="L194" s="90">
        <f t="shared" si="23"/>
        <v>-3392</v>
      </c>
    </row>
    <row r="195" spans="2:12" x14ac:dyDescent="0.25">
      <c r="B195">
        <f t="shared" si="25"/>
        <v>153</v>
      </c>
      <c r="C195" s="90">
        <f t="shared" si="24"/>
        <v>-1694</v>
      </c>
      <c r="D195" s="90">
        <f t="shared" si="24"/>
        <v>-42350</v>
      </c>
      <c r="E195" s="90">
        <f t="shared" si="24"/>
        <v>-1694</v>
      </c>
      <c r="F195" s="90">
        <f t="shared" si="24"/>
        <v>-42350</v>
      </c>
      <c r="G195" s="90">
        <f t="shared" si="24"/>
        <v>-8470</v>
      </c>
      <c r="H195" s="90">
        <f t="shared" si="23"/>
        <v>-8470</v>
      </c>
      <c r="I195" s="90">
        <f t="shared" si="23"/>
        <v>-8470</v>
      </c>
      <c r="J195" s="90">
        <f t="shared" si="23"/>
        <v>-1694</v>
      </c>
      <c r="K195" s="90">
        <f t="shared" si="23"/>
        <v>-8470</v>
      </c>
      <c r="L195" s="90">
        <f t="shared" si="23"/>
        <v>-3388</v>
      </c>
    </row>
    <row r="196" spans="2:12" x14ac:dyDescent="0.25">
      <c r="B196">
        <f t="shared" si="25"/>
        <v>154</v>
      </c>
      <c r="C196" s="90">
        <f t="shared" si="24"/>
        <v>-1692</v>
      </c>
      <c r="D196" s="90">
        <f t="shared" si="24"/>
        <v>-42300</v>
      </c>
      <c r="E196" s="90">
        <f t="shared" si="24"/>
        <v>-1692</v>
      </c>
      <c r="F196" s="90">
        <f t="shared" si="24"/>
        <v>-42300</v>
      </c>
      <c r="G196" s="90">
        <f t="shared" si="24"/>
        <v>-8460</v>
      </c>
      <c r="H196" s="90">
        <f t="shared" si="23"/>
        <v>-8460</v>
      </c>
      <c r="I196" s="90">
        <f t="shared" si="23"/>
        <v>-8460</v>
      </c>
      <c r="J196" s="90">
        <f t="shared" si="23"/>
        <v>-1692</v>
      </c>
      <c r="K196" s="90">
        <f t="shared" si="23"/>
        <v>-8460</v>
      </c>
      <c r="L196" s="90">
        <f t="shared" si="23"/>
        <v>-3384</v>
      </c>
    </row>
    <row r="197" spans="2:12" x14ac:dyDescent="0.25">
      <c r="B197">
        <f t="shared" si="25"/>
        <v>155</v>
      </c>
      <c r="C197" s="90">
        <f t="shared" si="24"/>
        <v>-1690</v>
      </c>
      <c r="D197" s="90">
        <f t="shared" si="24"/>
        <v>-42250</v>
      </c>
      <c r="E197" s="90">
        <f t="shared" si="24"/>
        <v>-1690</v>
      </c>
      <c r="F197" s="90">
        <f t="shared" si="24"/>
        <v>-42250</v>
      </c>
      <c r="G197" s="90">
        <f t="shared" si="24"/>
        <v>-8450</v>
      </c>
      <c r="H197" s="90">
        <f t="shared" si="23"/>
        <v>-8450</v>
      </c>
      <c r="I197" s="90">
        <f t="shared" si="23"/>
        <v>-8450</v>
      </c>
      <c r="J197" s="90">
        <f t="shared" si="23"/>
        <v>-1690</v>
      </c>
      <c r="K197" s="90">
        <f t="shared" si="23"/>
        <v>-8450</v>
      </c>
      <c r="L197" s="90">
        <f t="shared" si="23"/>
        <v>-3380</v>
      </c>
    </row>
    <row r="198" spans="2:12" x14ac:dyDescent="0.25">
      <c r="B198">
        <f t="shared" si="25"/>
        <v>156</v>
      </c>
      <c r="C198" s="90">
        <f t="shared" si="24"/>
        <v>-1688</v>
      </c>
      <c r="D198" s="90">
        <f t="shared" si="24"/>
        <v>-42200</v>
      </c>
      <c r="E198" s="90">
        <f t="shared" si="24"/>
        <v>-1688</v>
      </c>
      <c r="F198" s="90">
        <f t="shared" si="24"/>
        <v>-42200</v>
      </c>
      <c r="G198" s="90">
        <f t="shared" si="24"/>
        <v>-8440</v>
      </c>
      <c r="H198" s="90">
        <f t="shared" si="23"/>
        <v>-8440</v>
      </c>
      <c r="I198" s="90">
        <f t="shared" si="23"/>
        <v>-8440</v>
      </c>
      <c r="J198" s="90">
        <f t="shared" si="23"/>
        <v>-1688</v>
      </c>
      <c r="K198" s="90">
        <f t="shared" si="23"/>
        <v>-8440</v>
      </c>
      <c r="L198" s="90">
        <f t="shared" si="23"/>
        <v>-3376</v>
      </c>
    </row>
    <row r="199" spans="2:12" x14ac:dyDescent="0.25">
      <c r="B199">
        <f t="shared" si="25"/>
        <v>157</v>
      </c>
      <c r="C199" s="90">
        <f t="shared" si="24"/>
        <v>-1686</v>
      </c>
      <c r="D199" s="90">
        <f t="shared" si="24"/>
        <v>-42150</v>
      </c>
      <c r="E199" s="90">
        <f t="shared" si="24"/>
        <v>-1686</v>
      </c>
      <c r="F199" s="90">
        <f t="shared" si="24"/>
        <v>-42150</v>
      </c>
      <c r="G199" s="90">
        <f t="shared" si="24"/>
        <v>-8430</v>
      </c>
      <c r="H199" s="90">
        <f t="shared" si="23"/>
        <v>-8430</v>
      </c>
      <c r="I199" s="90">
        <f t="shared" si="23"/>
        <v>-8430</v>
      </c>
      <c r="J199" s="90">
        <f t="shared" si="23"/>
        <v>-1686</v>
      </c>
      <c r="K199" s="90">
        <f t="shared" si="23"/>
        <v>-8430</v>
      </c>
      <c r="L199" s="90">
        <f t="shared" si="23"/>
        <v>-3372</v>
      </c>
    </row>
    <row r="200" spans="2:12" x14ac:dyDescent="0.25">
      <c r="B200">
        <f t="shared" si="25"/>
        <v>158</v>
      </c>
      <c r="C200" s="90">
        <f t="shared" si="24"/>
        <v>-1684</v>
      </c>
      <c r="D200" s="90">
        <f t="shared" si="24"/>
        <v>-42100</v>
      </c>
      <c r="E200" s="90">
        <f t="shared" si="24"/>
        <v>-1684</v>
      </c>
      <c r="F200" s="90">
        <f t="shared" si="24"/>
        <v>-42100</v>
      </c>
      <c r="G200" s="90">
        <f t="shared" si="24"/>
        <v>-8420</v>
      </c>
      <c r="H200" s="90">
        <f t="shared" si="23"/>
        <v>-8420</v>
      </c>
      <c r="I200" s="90">
        <f t="shared" si="23"/>
        <v>-8420</v>
      </c>
      <c r="J200" s="90">
        <f t="shared" si="23"/>
        <v>-1684</v>
      </c>
      <c r="K200" s="90">
        <f t="shared" si="23"/>
        <v>-8420</v>
      </c>
      <c r="L200" s="90">
        <f t="shared" si="23"/>
        <v>-3368</v>
      </c>
    </row>
    <row r="201" spans="2:12" x14ac:dyDescent="0.25">
      <c r="B201">
        <f t="shared" si="25"/>
        <v>159</v>
      </c>
      <c r="C201" s="90">
        <f t="shared" si="24"/>
        <v>-1682</v>
      </c>
      <c r="D201" s="90">
        <f t="shared" si="24"/>
        <v>-42050</v>
      </c>
      <c r="E201" s="90">
        <f t="shared" si="24"/>
        <v>-1682</v>
      </c>
      <c r="F201" s="90">
        <f t="shared" si="24"/>
        <v>-42050</v>
      </c>
      <c r="G201" s="90">
        <f t="shared" si="24"/>
        <v>-8410</v>
      </c>
      <c r="H201" s="90">
        <f t="shared" si="23"/>
        <v>-8410</v>
      </c>
      <c r="I201" s="90">
        <f t="shared" si="23"/>
        <v>-8410</v>
      </c>
      <c r="J201" s="90">
        <f t="shared" si="23"/>
        <v>-1682</v>
      </c>
      <c r="K201" s="90">
        <f t="shared" si="23"/>
        <v>-8410</v>
      </c>
      <c r="L201" s="90">
        <f t="shared" si="23"/>
        <v>-3364</v>
      </c>
    </row>
    <row r="202" spans="2:12" x14ac:dyDescent="0.25">
      <c r="B202">
        <f t="shared" si="25"/>
        <v>160</v>
      </c>
      <c r="C202" s="90">
        <f t="shared" si="24"/>
        <v>-1680</v>
      </c>
      <c r="D202" s="90">
        <f t="shared" si="24"/>
        <v>-42000</v>
      </c>
      <c r="E202" s="90">
        <f t="shared" si="24"/>
        <v>-1680</v>
      </c>
      <c r="F202" s="90">
        <f t="shared" si="24"/>
        <v>-42000</v>
      </c>
      <c r="G202" s="90">
        <f t="shared" si="24"/>
        <v>-8400</v>
      </c>
      <c r="H202" s="90">
        <f t="shared" si="23"/>
        <v>-8400</v>
      </c>
      <c r="I202" s="90">
        <f t="shared" si="23"/>
        <v>-8400</v>
      </c>
      <c r="J202" s="90">
        <f t="shared" si="23"/>
        <v>-1680</v>
      </c>
      <c r="K202" s="90">
        <f t="shared" si="23"/>
        <v>-8400</v>
      </c>
      <c r="L202" s="90">
        <f t="shared" si="23"/>
        <v>-3360</v>
      </c>
    </row>
    <row r="203" spans="2:12" x14ac:dyDescent="0.25">
      <c r="B203">
        <f t="shared" si="25"/>
        <v>161</v>
      </c>
      <c r="C203" s="90">
        <f t="shared" si="24"/>
        <v>-1678</v>
      </c>
      <c r="D203" s="90">
        <f t="shared" si="24"/>
        <v>-41950</v>
      </c>
      <c r="E203" s="90">
        <f t="shared" si="24"/>
        <v>-1678</v>
      </c>
      <c r="F203" s="90">
        <f t="shared" si="24"/>
        <v>-41950</v>
      </c>
      <c r="G203" s="90">
        <f t="shared" si="24"/>
        <v>-8390</v>
      </c>
      <c r="H203" s="90">
        <f t="shared" si="23"/>
        <v>-8390</v>
      </c>
      <c r="I203" s="90">
        <f t="shared" si="23"/>
        <v>-8390</v>
      </c>
      <c r="J203" s="90">
        <f t="shared" si="23"/>
        <v>-1678</v>
      </c>
      <c r="K203" s="90">
        <f t="shared" si="23"/>
        <v>-8390</v>
      </c>
      <c r="L203" s="90">
        <f t="shared" si="23"/>
        <v>-3356</v>
      </c>
    </row>
    <row r="204" spans="2:12" x14ac:dyDescent="0.25">
      <c r="B204">
        <f t="shared" si="25"/>
        <v>162</v>
      </c>
      <c r="C204" s="90">
        <f t="shared" si="24"/>
        <v>-1676</v>
      </c>
      <c r="D204" s="90">
        <f t="shared" si="24"/>
        <v>-41900</v>
      </c>
      <c r="E204" s="90">
        <f t="shared" si="24"/>
        <v>-1676</v>
      </c>
      <c r="F204" s="90">
        <f t="shared" si="24"/>
        <v>-41900</v>
      </c>
      <c r="G204" s="90">
        <f t="shared" si="24"/>
        <v>-8380</v>
      </c>
      <c r="H204" s="90">
        <f t="shared" si="23"/>
        <v>-8380</v>
      </c>
      <c r="I204" s="90">
        <f t="shared" si="23"/>
        <v>-8380</v>
      </c>
      <c r="J204" s="90">
        <f t="shared" si="23"/>
        <v>-1676</v>
      </c>
      <c r="K204" s="90">
        <f t="shared" si="23"/>
        <v>-8380</v>
      </c>
      <c r="L204" s="90">
        <f t="shared" si="23"/>
        <v>-3352</v>
      </c>
    </row>
    <row r="205" spans="2:12" x14ac:dyDescent="0.25">
      <c r="B205">
        <f t="shared" si="25"/>
        <v>163</v>
      </c>
      <c r="C205" s="90">
        <f t="shared" si="24"/>
        <v>-1674</v>
      </c>
      <c r="D205" s="90">
        <f t="shared" si="24"/>
        <v>-41850</v>
      </c>
      <c r="E205" s="90">
        <f t="shared" si="24"/>
        <v>-1674</v>
      </c>
      <c r="F205" s="90">
        <f t="shared" si="24"/>
        <v>-41850</v>
      </c>
      <c r="G205" s="90">
        <f t="shared" si="24"/>
        <v>-8370</v>
      </c>
      <c r="H205" s="90">
        <f t="shared" si="23"/>
        <v>-8370</v>
      </c>
      <c r="I205" s="90">
        <f t="shared" si="23"/>
        <v>-8370</v>
      </c>
      <c r="J205" s="90">
        <f t="shared" si="23"/>
        <v>-1674</v>
      </c>
      <c r="K205" s="90">
        <f t="shared" si="23"/>
        <v>-8370</v>
      </c>
      <c r="L205" s="90">
        <f t="shared" si="23"/>
        <v>-3348</v>
      </c>
    </row>
    <row r="206" spans="2:12" x14ac:dyDescent="0.25">
      <c r="B206">
        <f t="shared" si="25"/>
        <v>164</v>
      </c>
      <c r="C206" s="90">
        <f t="shared" si="24"/>
        <v>-1672</v>
      </c>
      <c r="D206" s="90">
        <f t="shared" si="24"/>
        <v>-41800</v>
      </c>
      <c r="E206" s="90">
        <f t="shared" si="24"/>
        <v>-1672</v>
      </c>
      <c r="F206" s="90">
        <f t="shared" si="24"/>
        <v>-41800</v>
      </c>
      <c r="G206" s="90">
        <f t="shared" si="24"/>
        <v>-8360</v>
      </c>
      <c r="H206" s="90">
        <f t="shared" si="23"/>
        <v>-8360</v>
      </c>
      <c r="I206" s="90">
        <f t="shared" si="23"/>
        <v>-8360</v>
      </c>
      <c r="J206" s="90">
        <f t="shared" si="23"/>
        <v>-1672</v>
      </c>
      <c r="K206" s="90">
        <f t="shared" si="23"/>
        <v>-8360</v>
      </c>
      <c r="L206" s="90">
        <f t="shared" si="23"/>
        <v>-3344</v>
      </c>
    </row>
    <row r="207" spans="2:12" x14ac:dyDescent="0.25">
      <c r="B207">
        <f t="shared" si="25"/>
        <v>165</v>
      </c>
      <c r="C207" s="90">
        <f t="shared" si="24"/>
        <v>-1670</v>
      </c>
      <c r="D207" s="90">
        <f t="shared" si="24"/>
        <v>-41750</v>
      </c>
      <c r="E207" s="90">
        <f t="shared" si="24"/>
        <v>-1670</v>
      </c>
      <c r="F207" s="90">
        <f t="shared" si="24"/>
        <v>-41750</v>
      </c>
      <c r="G207" s="90">
        <f t="shared" si="24"/>
        <v>-8350</v>
      </c>
      <c r="H207" s="90">
        <f t="shared" si="23"/>
        <v>-8350</v>
      </c>
      <c r="I207" s="90">
        <f t="shared" si="23"/>
        <v>-8350</v>
      </c>
      <c r="J207" s="90">
        <f t="shared" si="23"/>
        <v>-1670</v>
      </c>
      <c r="K207" s="90">
        <f t="shared" si="23"/>
        <v>-8350</v>
      </c>
      <c r="L207" s="90">
        <f t="shared" si="23"/>
        <v>-3340</v>
      </c>
    </row>
    <row r="208" spans="2:12" x14ac:dyDescent="0.25">
      <c r="B208">
        <f t="shared" si="25"/>
        <v>166</v>
      </c>
      <c r="C208" s="90">
        <f t="shared" si="24"/>
        <v>-1668</v>
      </c>
      <c r="D208" s="90">
        <f t="shared" si="24"/>
        <v>-41700</v>
      </c>
      <c r="E208" s="90">
        <f t="shared" si="24"/>
        <v>-1668</v>
      </c>
      <c r="F208" s="90">
        <f t="shared" si="24"/>
        <v>-41700</v>
      </c>
      <c r="G208" s="90">
        <f t="shared" si="24"/>
        <v>-8340</v>
      </c>
      <c r="H208" s="90">
        <f t="shared" si="23"/>
        <v>-8340</v>
      </c>
      <c r="I208" s="90">
        <f t="shared" si="23"/>
        <v>-8340</v>
      </c>
      <c r="J208" s="90">
        <f t="shared" si="23"/>
        <v>-1668</v>
      </c>
      <c r="K208" s="90">
        <f t="shared" si="23"/>
        <v>-8340</v>
      </c>
      <c r="L208" s="90">
        <f t="shared" si="23"/>
        <v>-3336</v>
      </c>
    </row>
    <row r="209" spans="2:12" x14ac:dyDescent="0.25">
      <c r="B209">
        <f t="shared" si="25"/>
        <v>167</v>
      </c>
      <c r="C209" s="90">
        <f t="shared" si="24"/>
        <v>-1666</v>
      </c>
      <c r="D209" s="90">
        <f t="shared" si="24"/>
        <v>-41650</v>
      </c>
      <c r="E209" s="90">
        <f t="shared" si="24"/>
        <v>-1666</v>
      </c>
      <c r="F209" s="90">
        <f t="shared" si="24"/>
        <v>-41650</v>
      </c>
      <c r="G209" s="90">
        <f t="shared" si="24"/>
        <v>-8330</v>
      </c>
      <c r="H209" s="90">
        <f t="shared" si="23"/>
        <v>-8330</v>
      </c>
      <c r="I209" s="90">
        <f t="shared" si="23"/>
        <v>-8330</v>
      </c>
      <c r="J209" s="90">
        <f t="shared" si="23"/>
        <v>-1666</v>
      </c>
      <c r="K209" s="90">
        <f t="shared" si="23"/>
        <v>-8330</v>
      </c>
      <c r="L209" s="90">
        <f t="shared" si="23"/>
        <v>-3332</v>
      </c>
    </row>
    <row r="210" spans="2:12" x14ac:dyDescent="0.25">
      <c r="B210">
        <f t="shared" si="25"/>
        <v>168</v>
      </c>
      <c r="C210" s="90">
        <f t="shared" si="24"/>
        <v>-1664</v>
      </c>
      <c r="D210" s="90">
        <f t="shared" si="24"/>
        <v>-41600</v>
      </c>
      <c r="E210" s="90">
        <f t="shared" si="24"/>
        <v>-1664</v>
      </c>
      <c r="F210" s="90">
        <f t="shared" si="24"/>
        <v>-41600</v>
      </c>
      <c r="G210" s="90">
        <f t="shared" si="24"/>
        <v>-8320</v>
      </c>
      <c r="H210" s="90">
        <f t="shared" ref="H210:L242" si="26">H209+H$40</f>
        <v>-8320</v>
      </c>
      <c r="I210" s="90">
        <f t="shared" si="26"/>
        <v>-8320</v>
      </c>
      <c r="J210" s="90">
        <f t="shared" si="26"/>
        <v>-1664</v>
      </c>
      <c r="K210" s="90">
        <f t="shared" si="26"/>
        <v>-8320</v>
      </c>
      <c r="L210" s="90">
        <f t="shared" si="26"/>
        <v>-3328</v>
      </c>
    </row>
    <row r="211" spans="2:12" x14ac:dyDescent="0.25">
      <c r="B211">
        <f t="shared" si="25"/>
        <v>169</v>
      </c>
      <c r="C211" s="90">
        <f t="shared" ref="C211:G242" si="27">C210+C$40</f>
        <v>-1662</v>
      </c>
      <c r="D211" s="90">
        <f t="shared" si="27"/>
        <v>-41550</v>
      </c>
      <c r="E211" s="90">
        <f t="shared" si="27"/>
        <v>-1662</v>
      </c>
      <c r="F211" s="90">
        <f t="shared" si="27"/>
        <v>-41550</v>
      </c>
      <c r="G211" s="90">
        <f t="shared" si="27"/>
        <v>-8310</v>
      </c>
      <c r="H211" s="90">
        <f t="shared" si="26"/>
        <v>-8310</v>
      </c>
      <c r="I211" s="90">
        <f t="shared" si="26"/>
        <v>-8310</v>
      </c>
      <c r="J211" s="90">
        <f t="shared" si="26"/>
        <v>-1662</v>
      </c>
      <c r="K211" s="90">
        <f t="shared" si="26"/>
        <v>-8310</v>
      </c>
      <c r="L211" s="90">
        <f t="shared" si="26"/>
        <v>-3324</v>
      </c>
    </row>
    <row r="212" spans="2:12" x14ac:dyDescent="0.25">
      <c r="B212">
        <f t="shared" si="25"/>
        <v>170</v>
      </c>
      <c r="C212" s="90">
        <f t="shared" si="27"/>
        <v>-1660</v>
      </c>
      <c r="D212" s="90">
        <f t="shared" si="27"/>
        <v>-41500</v>
      </c>
      <c r="E212" s="90">
        <f t="shared" si="27"/>
        <v>-1660</v>
      </c>
      <c r="F212" s="90">
        <f t="shared" si="27"/>
        <v>-41500</v>
      </c>
      <c r="G212" s="90">
        <f t="shared" si="27"/>
        <v>-8300</v>
      </c>
      <c r="H212" s="90">
        <f t="shared" si="26"/>
        <v>-8300</v>
      </c>
      <c r="I212" s="90">
        <f t="shared" si="26"/>
        <v>-8300</v>
      </c>
      <c r="J212" s="90">
        <f t="shared" si="26"/>
        <v>-1660</v>
      </c>
      <c r="K212" s="90">
        <f t="shared" si="26"/>
        <v>-8300</v>
      </c>
      <c r="L212" s="90">
        <f t="shared" si="26"/>
        <v>-3320</v>
      </c>
    </row>
    <row r="213" spans="2:12" x14ac:dyDescent="0.25">
      <c r="B213">
        <f t="shared" si="25"/>
        <v>171</v>
      </c>
      <c r="C213" s="90">
        <f t="shared" si="27"/>
        <v>-1658</v>
      </c>
      <c r="D213" s="90">
        <f t="shared" si="27"/>
        <v>-41450</v>
      </c>
      <c r="E213" s="90">
        <f t="shared" si="27"/>
        <v>-1658</v>
      </c>
      <c r="F213" s="90">
        <f t="shared" si="27"/>
        <v>-41450</v>
      </c>
      <c r="G213" s="90">
        <f t="shared" si="27"/>
        <v>-8290</v>
      </c>
      <c r="H213" s="90">
        <f t="shared" si="26"/>
        <v>-8290</v>
      </c>
      <c r="I213" s="90">
        <f t="shared" si="26"/>
        <v>-8290</v>
      </c>
      <c r="J213" s="90">
        <f t="shared" si="26"/>
        <v>-1658</v>
      </c>
      <c r="K213" s="90">
        <f t="shared" si="26"/>
        <v>-8290</v>
      </c>
      <c r="L213" s="90">
        <f t="shared" si="26"/>
        <v>-3316</v>
      </c>
    </row>
    <row r="214" spans="2:12" x14ac:dyDescent="0.25">
      <c r="B214">
        <f t="shared" si="25"/>
        <v>172</v>
      </c>
      <c r="C214" s="90">
        <f t="shared" si="27"/>
        <v>-1656</v>
      </c>
      <c r="D214" s="90">
        <f t="shared" si="27"/>
        <v>-41400</v>
      </c>
      <c r="E214" s="90">
        <f t="shared" si="27"/>
        <v>-1656</v>
      </c>
      <c r="F214" s="90">
        <f t="shared" si="27"/>
        <v>-41400</v>
      </c>
      <c r="G214" s="90">
        <f t="shared" si="27"/>
        <v>-8280</v>
      </c>
      <c r="H214" s="90">
        <f t="shared" si="26"/>
        <v>-8280</v>
      </c>
      <c r="I214" s="90">
        <f t="shared" si="26"/>
        <v>-8280</v>
      </c>
      <c r="J214" s="90">
        <f t="shared" si="26"/>
        <v>-1656</v>
      </c>
      <c r="K214" s="90">
        <f t="shared" si="26"/>
        <v>-8280</v>
      </c>
      <c r="L214" s="90">
        <f t="shared" si="26"/>
        <v>-3312</v>
      </c>
    </row>
    <row r="215" spans="2:12" x14ac:dyDescent="0.25">
      <c r="B215">
        <f t="shared" si="25"/>
        <v>173</v>
      </c>
      <c r="C215" s="90">
        <f t="shared" si="27"/>
        <v>-1654</v>
      </c>
      <c r="D215" s="90">
        <f t="shared" si="27"/>
        <v>-41350</v>
      </c>
      <c r="E215" s="90">
        <f t="shared" si="27"/>
        <v>-1654</v>
      </c>
      <c r="F215" s="90">
        <f t="shared" si="27"/>
        <v>-41350</v>
      </c>
      <c r="G215" s="90">
        <f t="shared" si="27"/>
        <v>-8270</v>
      </c>
      <c r="H215" s="90">
        <f t="shared" si="26"/>
        <v>-8270</v>
      </c>
      <c r="I215" s="90">
        <f t="shared" si="26"/>
        <v>-8270</v>
      </c>
      <c r="J215" s="90">
        <f t="shared" si="26"/>
        <v>-1654</v>
      </c>
      <c r="K215" s="90">
        <f t="shared" si="26"/>
        <v>-8270</v>
      </c>
      <c r="L215" s="90">
        <f t="shared" si="26"/>
        <v>-3308</v>
      </c>
    </row>
    <row r="216" spans="2:12" x14ac:dyDescent="0.25">
      <c r="B216">
        <f t="shared" si="25"/>
        <v>174</v>
      </c>
      <c r="C216" s="90">
        <f t="shared" si="27"/>
        <v>-1652</v>
      </c>
      <c r="D216" s="90">
        <f t="shared" si="27"/>
        <v>-41300</v>
      </c>
      <c r="E216" s="90">
        <f t="shared" si="27"/>
        <v>-1652</v>
      </c>
      <c r="F216" s="90">
        <f t="shared" si="27"/>
        <v>-41300</v>
      </c>
      <c r="G216" s="90">
        <f t="shared" si="27"/>
        <v>-8260</v>
      </c>
      <c r="H216" s="90">
        <f t="shared" si="26"/>
        <v>-8260</v>
      </c>
      <c r="I216" s="90">
        <f t="shared" si="26"/>
        <v>-8260</v>
      </c>
      <c r="J216" s="90">
        <f t="shared" si="26"/>
        <v>-1652</v>
      </c>
      <c r="K216" s="90">
        <f t="shared" si="26"/>
        <v>-8260</v>
      </c>
      <c r="L216" s="90">
        <f t="shared" si="26"/>
        <v>-3304</v>
      </c>
    </row>
    <row r="217" spans="2:12" x14ac:dyDescent="0.25">
      <c r="B217">
        <f t="shared" si="25"/>
        <v>175</v>
      </c>
      <c r="C217" s="90">
        <f t="shared" si="27"/>
        <v>-1650</v>
      </c>
      <c r="D217" s="90">
        <f t="shared" si="27"/>
        <v>-41250</v>
      </c>
      <c r="E217" s="90">
        <f t="shared" si="27"/>
        <v>-1650</v>
      </c>
      <c r="F217" s="90">
        <f t="shared" si="27"/>
        <v>-41250</v>
      </c>
      <c r="G217" s="90">
        <f t="shared" si="27"/>
        <v>-8250</v>
      </c>
      <c r="H217" s="90">
        <f t="shared" si="26"/>
        <v>-8250</v>
      </c>
      <c r="I217" s="90">
        <f t="shared" si="26"/>
        <v>-8250</v>
      </c>
      <c r="J217" s="90">
        <f t="shared" si="26"/>
        <v>-1650</v>
      </c>
      <c r="K217" s="90">
        <f t="shared" si="26"/>
        <v>-8250</v>
      </c>
      <c r="L217" s="90">
        <f t="shared" si="26"/>
        <v>-3300</v>
      </c>
    </row>
    <row r="218" spans="2:12" x14ac:dyDescent="0.25">
      <c r="B218">
        <f t="shared" si="25"/>
        <v>176</v>
      </c>
      <c r="C218" s="90">
        <f t="shared" si="27"/>
        <v>-1648</v>
      </c>
      <c r="D218" s="90">
        <f t="shared" si="27"/>
        <v>-41200</v>
      </c>
      <c r="E218" s="90">
        <f t="shared" si="27"/>
        <v>-1648</v>
      </c>
      <c r="F218" s="90">
        <f t="shared" si="27"/>
        <v>-41200</v>
      </c>
      <c r="G218" s="90">
        <f t="shared" si="27"/>
        <v>-8240</v>
      </c>
      <c r="H218" s="90">
        <f t="shared" si="26"/>
        <v>-8240</v>
      </c>
      <c r="I218" s="90">
        <f t="shared" si="26"/>
        <v>-8240</v>
      </c>
      <c r="J218" s="90">
        <f t="shared" si="26"/>
        <v>-1648</v>
      </c>
      <c r="K218" s="90">
        <f t="shared" si="26"/>
        <v>-8240</v>
      </c>
      <c r="L218" s="90">
        <f t="shared" si="26"/>
        <v>-3296</v>
      </c>
    </row>
    <row r="219" spans="2:12" x14ac:dyDescent="0.25">
      <c r="B219">
        <f t="shared" si="25"/>
        <v>177</v>
      </c>
      <c r="C219" s="90">
        <f t="shared" si="27"/>
        <v>-1646</v>
      </c>
      <c r="D219" s="90">
        <f t="shared" si="27"/>
        <v>-41150</v>
      </c>
      <c r="E219" s="90">
        <f t="shared" si="27"/>
        <v>-1646</v>
      </c>
      <c r="F219" s="90">
        <f t="shared" si="27"/>
        <v>-41150</v>
      </c>
      <c r="G219" s="90">
        <f t="shared" si="27"/>
        <v>-8230</v>
      </c>
      <c r="H219" s="90">
        <f t="shared" si="26"/>
        <v>-8230</v>
      </c>
      <c r="I219" s="90">
        <f t="shared" si="26"/>
        <v>-8230</v>
      </c>
      <c r="J219" s="90">
        <f t="shared" si="26"/>
        <v>-1646</v>
      </c>
      <c r="K219" s="90">
        <f t="shared" si="26"/>
        <v>-8230</v>
      </c>
      <c r="L219" s="90">
        <f t="shared" si="26"/>
        <v>-3292</v>
      </c>
    </row>
    <row r="220" spans="2:12" x14ac:dyDescent="0.25">
      <c r="B220">
        <f t="shared" si="25"/>
        <v>178</v>
      </c>
      <c r="C220" s="90">
        <f t="shared" si="27"/>
        <v>-1644</v>
      </c>
      <c r="D220" s="90">
        <f t="shared" si="27"/>
        <v>-41100</v>
      </c>
      <c r="E220" s="90">
        <f t="shared" si="27"/>
        <v>-1644</v>
      </c>
      <c r="F220" s="90">
        <f t="shared" si="27"/>
        <v>-41100</v>
      </c>
      <c r="G220" s="90">
        <f t="shared" si="27"/>
        <v>-8220</v>
      </c>
      <c r="H220" s="90">
        <f t="shared" si="26"/>
        <v>-8220</v>
      </c>
      <c r="I220" s="90">
        <f t="shared" si="26"/>
        <v>-8220</v>
      </c>
      <c r="J220" s="90">
        <f t="shared" si="26"/>
        <v>-1644</v>
      </c>
      <c r="K220" s="90">
        <f t="shared" si="26"/>
        <v>-8220</v>
      </c>
      <c r="L220" s="90">
        <f t="shared" si="26"/>
        <v>-3288</v>
      </c>
    </row>
    <row r="221" spans="2:12" x14ac:dyDescent="0.25">
      <c r="B221">
        <f t="shared" si="25"/>
        <v>179</v>
      </c>
      <c r="C221" s="90">
        <f t="shared" si="27"/>
        <v>-1642</v>
      </c>
      <c r="D221" s="90">
        <f t="shared" si="27"/>
        <v>-41050</v>
      </c>
      <c r="E221" s="90">
        <f t="shared" si="27"/>
        <v>-1642</v>
      </c>
      <c r="F221" s="90">
        <f t="shared" si="27"/>
        <v>-41050</v>
      </c>
      <c r="G221" s="90">
        <f t="shared" si="27"/>
        <v>-8210</v>
      </c>
      <c r="H221" s="90">
        <f t="shared" si="26"/>
        <v>-8210</v>
      </c>
      <c r="I221" s="90">
        <f t="shared" si="26"/>
        <v>-8210</v>
      </c>
      <c r="J221" s="90">
        <f t="shared" si="26"/>
        <v>-1642</v>
      </c>
      <c r="K221" s="90">
        <f t="shared" si="26"/>
        <v>-8210</v>
      </c>
      <c r="L221" s="90">
        <f t="shared" si="26"/>
        <v>-3284</v>
      </c>
    </row>
    <row r="222" spans="2:12" x14ac:dyDescent="0.25">
      <c r="B222">
        <f t="shared" si="25"/>
        <v>180</v>
      </c>
      <c r="C222" s="90">
        <f t="shared" si="27"/>
        <v>-1640</v>
      </c>
      <c r="D222" s="90">
        <f t="shared" si="27"/>
        <v>-41000</v>
      </c>
      <c r="E222" s="90">
        <f t="shared" si="27"/>
        <v>-1640</v>
      </c>
      <c r="F222" s="90">
        <f t="shared" si="27"/>
        <v>-41000</v>
      </c>
      <c r="G222" s="90">
        <f t="shared" si="27"/>
        <v>-8200</v>
      </c>
      <c r="H222" s="90">
        <f t="shared" si="26"/>
        <v>-8200</v>
      </c>
      <c r="I222" s="90">
        <f t="shared" si="26"/>
        <v>-8200</v>
      </c>
      <c r="J222" s="90">
        <f t="shared" si="26"/>
        <v>-1640</v>
      </c>
      <c r="K222" s="90">
        <f t="shared" si="26"/>
        <v>-8200</v>
      </c>
      <c r="L222" s="90">
        <f t="shared" si="26"/>
        <v>-3280</v>
      </c>
    </row>
    <row r="223" spans="2:12" x14ac:dyDescent="0.25">
      <c r="B223">
        <f t="shared" si="25"/>
        <v>181</v>
      </c>
      <c r="C223" s="90">
        <f t="shared" si="27"/>
        <v>-1638</v>
      </c>
      <c r="D223" s="90">
        <f t="shared" si="27"/>
        <v>-40950</v>
      </c>
      <c r="E223" s="90">
        <f t="shared" si="27"/>
        <v>-1638</v>
      </c>
      <c r="F223" s="90">
        <f t="shared" si="27"/>
        <v>-40950</v>
      </c>
      <c r="G223" s="90">
        <f t="shared" si="27"/>
        <v>-8190</v>
      </c>
      <c r="H223" s="90">
        <f t="shared" si="26"/>
        <v>-8190</v>
      </c>
      <c r="I223" s="90">
        <f t="shared" si="26"/>
        <v>-8190</v>
      </c>
      <c r="J223" s="90">
        <f t="shared" si="26"/>
        <v>-1638</v>
      </c>
      <c r="K223" s="90">
        <f t="shared" si="26"/>
        <v>-8190</v>
      </c>
      <c r="L223" s="90">
        <f t="shared" si="26"/>
        <v>-3276</v>
      </c>
    </row>
    <row r="224" spans="2:12" x14ac:dyDescent="0.25">
      <c r="B224">
        <f t="shared" si="25"/>
        <v>182</v>
      </c>
      <c r="C224" s="90">
        <f t="shared" si="27"/>
        <v>-1636</v>
      </c>
      <c r="D224" s="90">
        <f t="shared" si="27"/>
        <v>-40900</v>
      </c>
      <c r="E224" s="90">
        <f t="shared" si="27"/>
        <v>-1636</v>
      </c>
      <c r="F224" s="90">
        <f t="shared" si="27"/>
        <v>-40900</v>
      </c>
      <c r="G224" s="90">
        <f t="shared" si="27"/>
        <v>-8180</v>
      </c>
      <c r="H224" s="90">
        <f t="shared" si="26"/>
        <v>-8180</v>
      </c>
      <c r="I224" s="90">
        <f t="shared" si="26"/>
        <v>-8180</v>
      </c>
      <c r="J224" s="90">
        <f t="shared" si="26"/>
        <v>-1636</v>
      </c>
      <c r="K224" s="90">
        <f t="shared" si="26"/>
        <v>-8180</v>
      </c>
      <c r="L224" s="90">
        <f t="shared" si="26"/>
        <v>-3272</v>
      </c>
    </row>
    <row r="225" spans="2:12" x14ac:dyDescent="0.25">
      <c r="B225">
        <f t="shared" si="25"/>
        <v>183</v>
      </c>
      <c r="C225" s="90">
        <f t="shared" si="27"/>
        <v>-1634</v>
      </c>
      <c r="D225" s="90">
        <f t="shared" si="27"/>
        <v>-40850</v>
      </c>
      <c r="E225" s="90">
        <f t="shared" si="27"/>
        <v>-1634</v>
      </c>
      <c r="F225" s="90">
        <f t="shared" si="27"/>
        <v>-40850</v>
      </c>
      <c r="G225" s="90">
        <f t="shared" si="27"/>
        <v>-8170</v>
      </c>
      <c r="H225" s="90">
        <f t="shared" si="26"/>
        <v>-8170</v>
      </c>
      <c r="I225" s="90">
        <f t="shared" si="26"/>
        <v>-8170</v>
      </c>
      <c r="J225" s="90">
        <f t="shared" si="26"/>
        <v>-1634</v>
      </c>
      <c r="K225" s="90">
        <f t="shared" si="26"/>
        <v>-8170</v>
      </c>
      <c r="L225" s="90">
        <f t="shared" si="26"/>
        <v>-3268</v>
      </c>
    </row>
    <row r="226" spans="2:12" x14ac:dyDescent="0.25">
      <c r="B226">
        <f t="shared" si="25"/>
        <v>184</v>
      </c>
      <c r="C226" s="90">
        <f t="shared" si="27"/>
        <v>-1632</v>
      </c>
      <c r="D226" s="90">
        <f t="shared" si="27"/>
        <v>-40800</v>
      </c>
      <c r="E226" s="90">
        <f t="shared" si="27"/>
        <v>-1632</v>
      </c>
      <c r="F226" s="90">
        <f t="shared" si="27"/>
        <v>-40800</v>
      </c>
      <c r="G226" s="90">
        <f t="shared" si="27"/>
        <v>-8160</v>
      </c>
      <c r="H226" s="90">
        <f t="shared" si="26"/>
        <v>-8160</v>
      </c>
      <c r="I226" s="90">
        <f t="shared" si="26"/>
        <v>-8160</v>
      </c>
      <c r="J226" s="90">
        <f t="shared" si="26"/>
        <v>-1632</v>
      </c>
      <c r="K226" s="90">
        <f t="shared" si="26"/>
        <v>-8160</v>
      </c>
      <c r="L226" s="90">
        <f t="shared" si="26"/>
        <v>-3264</v>
      </c>
    </row>
    <row r="227" spans="2:12" x14ac:dyDescent="0.25">
      <c r="B227">
        <f t="shared" si="25"/>
        <v>185</v>
      </c>
      <c r="C227" s="90">
        <f t="shared" si="27"/>
        <v>-1630</v>
      </c>
      <c r="D227" s="90">
        <f t="shared" si="27"/>
        <v>-40750</v>
      </c>
      <c r="E227" s="90">
        <f t="shared" si="27"/>
        <v>-1630</v>
      </c>
      <c r="F227" s="90">
        <f t="shared" si="27"/>
        <v>-40750</v>
      </c>
      <c r="G227" s="90">
        <f t="shared" si="27"/>
        <v>-8150</v>
      </c>
      <c r="H227" s="90">
        <f t="shared" si="26"/>
        <v>-8150</v>
      </c>
      <c r="I227" s="90">
        <f t="shared" si="26"/>
        <v>-8150</v>
      </c>
      <c r="J227" s="90">
        <f t="shared" si="26"/>
        <v>-1630</v>
      </c>
      <c r="K227" s="90">
        <f t="shared" si="26"/>
        <v>-8150</v>
      </c>
      <c r="L227" s="90">
        <f t="shared" si="26"/>
        <v>-3260</v>
      </c>
    </row>
    <row r="228" spans="2:12" x14ac:dyDescent="0.25">
      <c r="B228">
        <f t="shared" si="25"/>
        <v>186</v>
      </c>
      <c r="C228" s="90">
        <f t="shared" si="27"/>
        <v>-1628</v>
      </c>
      <c r="D228" s="90">
        <f t="shared" si="27"/>
        <v>-40700</v>
      </c>
      <c r="E228" s="90">
        <f t="shared" si="27"/>
        <v>-1628</v>
      </c>
      <c r="F228" s="90">
        <f t="shared" si="27"/>
        <v>-40700</v>
      </c>
      <c r="G228" s="90">
        <f t="shared" si="27"/>
        <v>-8140</v>
      </c>
      <c r="H228" s="90">
        <f t="shared" si="26"/>
        <v>-8140</v>
      </c>
      <c r="I228" s="90">
        <f t="shared" si="26"/>
        <v>-8140</v>
      </c>
      <c r="J228" s="90">
        <f t="shared" si="26"/>
        <v>-1628</v>
      </c>
      <c r="K228" s="90">
        <f t="shared" si="26"/>
        <v>-8140</v>
      </c>
      <c r="L228" s="90">
        <f t="shared" si="26"/>
        <v>-3256</v>
      </c>
    </row>
    <row r="229" spans="2:12" x14ac:dyDescent="0.25">
      <c r="B229">
        <f t="shared" si="25"/>
        <v>187</v>
      </c>
      <c r="C229" s="90">
        <f t="shared" si="27"/>
        <v>-1626</v>
      </c>
      <c r="D229" s="90">
        <f t="shared" si="27"/>
        <v>-40650</v>
      </c>
      <c r="E229" s="90">
        <f t="shared" si="27"/>
        <v>-1626</v>
      </c>
      <c r="F229" s="90">
        <f t="shared" si="27"/>
        <v>-40650</v>
      </c>
      <c r="G229" s="90">
        <f t="shared" si="27"/>
        <v>-8130</v>
      </c>
      <c r="H229" s="90">
        <f t="shared" si="26"/>
        <v>-8130</v>
      </c>
      <c r="I229" s="90">
        <f t="shared" si="26"/>
        <v>-8130</v>
      </c>
      <c r="J229" s="90">
        <f t="shared" si="26"/>
        <v>-1626</v>
      </c>
      <c r="K229" s="90">
        <f t="shared" si="26"/>
        <v>-8130</v>
      </c>
      <c r="L229" s="90">
        <f t="shared" si="26"/>
        <v>-3252</v>
      </c>
    </row>
    <row r="230" spans="2:12" x14ac:dyDescent="0.25">
      <c r="B230">
        <f t="shared" si="25"/>
        <v>188</v>
      </c>
      <c r="C230" s="90">
        <f t="shared" si="27"/>
        <v>-1624</v>
      </c>
      <c r="D230" s="90">
        <f t="shared" si="27"/>
        <v>-40600</v>
      </c>
      <c r="E230" s="90">
        <f t="shared" si="27"/>
        <v>-1624</v>
      </c>
      <c r="F230" s="90">
        <f t="shared" si="27"/>
        <v>-40600</v>
      </c>
      <c r="G230" s="90">
        <f t="shared" si="27"/>
        <v>-8120</v>
      </c>
      <c r="H230" s="90">
        <f t="shared" si="26"/>
        <v>-8120</v>
      </c>
      <c r="I230" s="90">
        <f t="shared" si="26"/>
        <v>-8120</v>
      </c>
      <c r="J230" s="90">
        <f t="shared" si="26"/>
        <v>-1624</v>
      </c>
      <c r="K230" s="90">
        <f t="shared" si="26"/>
        <v>-8120</v>
      </c>
      <c r="L230" s="90">
        <f t="shared" si="26"/>
        <v>-3248</v>
      </c>
    </row>
    <row r="231" spans="2:12" x14ac:dyDescent="0.25">
      <c r="B231">
        <f t="shared" si="25"/>
        <v>189</v>
      </c>
      <c r="C231" s="90">
        <f t="shared" si="27"/>
        <v>-1622</v>
      </c>
      <c r="D231" s="90">
        <f t="shared" si="27"/>
        <v>-40550</v>
      </c>
      <c r="E231" s="90">
        <f t="shared" si="27"/>
        <v>-1622</v>
      </c>
      <c r="F231" s="90">
        <f t="shared" si="27"/>
        <v>-40550</v>
      </c>
      <c r="G231" s="90">
        <f t="shared" si="27"/>
        <v>-8110</v>
      </c>
      <c r="H231" s="90">
        <f t="shared" si="26"/>
        <v>-8110</v>
      </c>
      <c r="I231" s="90">
        <f t="shared" si="26"/>
        <v>-8110</v>
      </c>
      <c r="J231" s="90">
        <f t="shared" si="26"/>
        <v>-1622</v>
      </c>
      <c r="K231" s="90">
        <f t="shared" si="26"/>
        <v>-8110</v>
      </c>
      <c r="L231" s="90">
        <f t="shared" si="26"/>
        <v>-3244</v>
      </c>
    </row>
    <row r="232" spans="2:12" x14ac:dyDescent="0.25">
      <c r="B232">
        <f t="shared" si="25"/>
        <v>190</v>
      </c>
      <c r="C232" s="90">
        <f t="shared" si="27"/>
        <v>-1620</v>
      </c>
      <c r="D232" s="90">
        <f t="shared" si="27"/>
        <v>-40500</v>
      </c>
      <c r="E232" s="90">
        <f t="shared" si="27"/>
        <v>-1620</v>
      </c>
      <c r="F232" s="90">
        <f t="shared" si="27"/>
        <v>-40500</v>
      </c>
      <c r="G232" s="90">
        <f t="shared" si="27"/>
        <v>-8100</v>
      </c>
      <c r="H232" s="90">
        <f t="shared" si="26"/>
        <v>-8100</v>
      </c>
      <c r="I232" s="90">
        <f t="shared" si="26"/>
        <v>-8100</v>
      </c>
      <c r="J232" s="90">
        <f t="shared" si="26"/>
        <v>-1620</v>
      </c>
      <c r="K232" s="90">
        <f t="shared" si="26"/>
        <v>-8100</v>
      </c>
      <c r="L232" s="90">
        <f t="shared" si="26"/>
        <v>-3240</v>
      </c>
    </row>
    <row r="233" spans="2:12" x14ac:dyDescent="0.25">
      <c r="B233">
        <f t="shared" si="25"/>
        <v>191</v>
      </c>
      <c r="C233" s="90">
        <f t="shared" si="27"/>
        <v>-1618</v>
      </c>
      <c r="D233" s="90">
        <f t="shared" si="27"/>
        <v>-40450</v>
      </c>
      <c r="E233" s="90">
        <f t="shared" si="27"/>
        <v>-1618</v>
      </c>
      <c r="F233" s="90">
        <f t="shared" si="27"/>
        <v>-40450</v>
      </c>
      <c r="G233" s="90">
        <f t="shared" si="27"/>
        <v>-8090</v>
      </c>
      <c r="H233" s="90">
        <f t="shared" si="26"/>
        <v>-8090</v>
      </c>
      <c r="I233" s="90">
        <f t="shared" si="26"/>
        <v>-8090</v>
      </c>
      <c r="J233" s="90">
        <f t="shared" si="26"/>
        <v>-1618</v>
      </c>
      <c r="K233" s="90">
        <f t="shared" si="26"/>
        <v>-8090</v>
      </c>
      <c r="L233" s="90">
        <f t="shared" si="26"/>
        <v>-3236</v>
      </c>
    </row>
    <row r="234" spans="2:12" x14ac:dyDescent="0.25">
      <c r="B234">
        <f t="shared" si="25"/>
        <v>192</v>
      </c>
      <c r="C234" s="90">
        <f t="shared" si="27"/>
        <v>-1616</v>
      </c>
      <c r="D234" s="90">
        <f t="shared" si="27"/>
        <v>-40400</v>
      </c>
      <c r="E234" s="90">
        <f t="shared" si="27"/>
        <v>-1616</v>
      </c>
      <c r="F234" s="90">
        <f t="shared" si="27"/>
        <v>-40400</v>
      </c>
      <c r="G234" s="90">
        <f t="shared" si="27"/>
        <v>-8080</v>
      </c>
      <c r="H234" s="90">
        <f t="shared" si="26"/>
        <v>-8080</v>
      </c>
      <c r="I234" s="90">
        <f t="shared" si="26"/>
        <v>-8080</v>
      </c>
      <c r="J234" s="90">
        <f t="shared" si="26"/>
        <v>-1616</v>
      </c>
      <c r="K234" s="90">
        <f t="shared" si="26"/>
        <v>-8080</v>
      </c>
      <c r="L234" s="90">
        <f t="shared" si="26"/>
        <v>-3232</v>
      </c>
    </row>
    <row r="235" spans="2:12" x14ac:dyDescent="0.25">
      <c r="B235">
        <f t="shared" si="25"/>
        <v>193</v>
      </c>
      <c r="C235" s="90">
        <f t="shared" si="27"/>
        <v>-1614</v>
      </c>
      <c r="D235" s="90">
        <f t="shared" si="27"/>
        <v>-40350</v>
      </c>
      <c r="E235" s="90">
        <f t="shared" si="27"/>
        <v>-1614</v>
      </c>
      <c r="F235" s="90">
        <f t="shared" si="27"/>
        <v>-40350</v>
      </c>
      <c r="G235" s="90">
        <f t="shared" si="27"/>
        <v>-8070</v>
      </c>
      <c r="H235" s="90">
        <f t="shared" si="26"/>
        <v>-8070</v>
      </c>
      <c r="I235" s="90">
        <f t="shared" si="26"/>
        <v>-8070</v>
      </c>
      <c r="J235" s="90">
        <f t="shared" si="26"/>
        <v>-1614</v>
      </c>
      <c r="K235" s="90">
        <f t="shared" si="26"/>
        <v>-8070</v>
      </c>
      <c r="L235" s="90">
        <f t="shared" si="26"/>
        <v>-3228</v>
      </c>
    </row>
    <row r="236" spans="2:12" x14ac:dyDescent="0.25">
      <c r="B236">
        <f t="shared" ref="B236:B242" si="28">B235+1</f>
        <v>194</v>
      </c>
      <c r="C236" s="90">
        <f t="shared" si="27"/>
        <v>-1612</v>
      </c>
      <c r="D236" s="90">
        <f t="shared" si="27"/>
        <v>-40300</v>
      </c>
      <c r="E236" s="90">
        <f t="shared" si="27"/>
        <v>-1612</v>
      </c>
      <c r="F236" s="90">
        <f t="shared" si="27"/>
        <v>-40300</v>
      </c>
      <c r="G236" s="90">
        <f t="shared" si="27"/>
        <v>-8060</v>
      </c>
      <c r="H236" s="90">
        <f t="shared" si="26"/>
        <v>-8060</v>
      </c>
      <c r="I236" s="90">
        <f t="shared" si="26"/>
        <v>-8060</v>
      </c>
      <c r="J236" s="90">
        <f t="shared" si="26"/>
        <v>-1612</v>
      </c>
      <c r="K236" s="90">
        <f t="shared" si="26"/>
        <v>-8060</v>
      </c>
      <c r="L236" s="90">
        <f t="shared" si="26"/>
        <v>-3224</v>
      </c>
    </row>
    <row r="237" spans="2:12" x14ac:dyDescent="0.25">
      <c r="B237">
        <f t="shared" si="28"/>
        <v>195</v>
      </c>
      <c r="C237" s="90">
        <f t="shared" si="27"/>
        <v>-1610</v>
      </c>
      <c r="D237" s="90">
        <f t="shared" si="27"/>
        <v>-40250</v>
      </c>
      <c r="E237" s="90">
        <f t="shared" si="27"/>
        <v>-1610</v>
      </c>
      <c r="F237" s="90">
        <f t="shared" si="27"/>
        <v>-40250</v>
      </c>
      <c r="G237" s="90">
        <f t="shared" si="27"/>
        <v>-8050</v>
      </c>
      <c r="H237" s="90">
        <f t="shared" si="26"/>
        <v>-8050</v>
      </c>
      <c r="I237" s="90">
        <f t="shared" si="26"/>
        <v>-8050</v>
      </c>
      <c r="J237" s="90">
        <f t="shared" si="26"/>
        <v>-1610</v>
      </c>
      <c r="K237" s="90">
        <f t="shared" si="26"/>
        <v>-8050</v>
      </c>
      <c r="L237" s="90">
        <f t="shared" si="26"/>
        <v>-3220</v>
      </c>
    </row>
    <row r="238" spans="2:12" x14ac:dyDescent="0.25">
      <c r="B238">
        <f t="shared" si="28"/>
        <v>196</v>
      </c>
      <c r="C238" s="90">
        <f t="shared" si="27"/>
        <v>-1608</v>
      </c>
      <c r="D238" s="90">
        <f t="shared" si="27"/>
        <v>-40200</v>
      </c>
      <c r="E238" s="90">
        <f t="shared" si="27"/>
        <v>-1608</v>
      </c>
      <c r="F238" s="90">
        <f t="shared" si="27"/>
        <v>-40200</v>
      </c>
      <c r="G238" s="90">
        <f t="shared" si="27"/>
        <v>-8040</v>
      </c>
      <c r="H238" s="90">
        <f t="shared" si="26"/>
        <v>-8040</v>
      </c>
      <c r="I238" s="90">
        <f t="shared" si="26"/>
        <v>-8040</v>
      </c>
      <c r="J238" s="90">
        <f t="shared" si="26"/>
        <v>-1608</v>
      </c>
      <c r="K238" s="90">
        <f t="shared" si="26"/>
        <v>-8040</v>
      </c>
      <c r="L238" s="90">
        <f t="shared" si="26"/>
        <v>-3216</v>
      </c>
    </row>
    <row r="239" spans="2:12" x14ac:dyDescent="0.25">
      <c r="B239">
        <f t="shared" si="28"/>
        <v>197</v>
      </c>
      <c r="C239" s="90">
        <f t="shared" si="27"/>
        <v>-1606</v>
      </c>
      <c r="D239" s="90">
        <f t="shared" si="27"/>
        <v>-40150</v>
      </c>
      <c r="E239" s="90">
        <f t="shared" si="27"/>
        <v>-1606</v>
      </c>
      <c r="F239" s="90">
        <f t="shared" si="27"/>
        <v>-40150</v>
      </c>
      <c r="G239" s="90">
        <f t="shared" si="27"/>
        <v>-8030</v>
      </c>
      <c r="H239" s="90">
        <f t="shared" si="26"/>
        <v>-8030</v>
      </c>
      <c r="I239" s="90">
        <f t="shared" si="26"/>
        <v>-8030</v>
      </c>
      <c r="J239" s="90">
        <f t="shared" si="26"/>
        <v>-1606</v>
      </c>
      <c r="K239" s="90">
        <f t="shared" si="26"/>
        <v>-8030</v>
      </c>
      <c r="L239" s="90">
        <f t="shared" si="26"/>
        <v>-3212</v>
      </c>
    </row>
    <row r="240" spans="2:12" x14ac:dyDescent="0.25">
      <c r="B240">
        <f t="shared" si="28"/>
        <v>198</v>
      </c>
      <c r="C240" s="90">
        <f t="shared" si="27"/>
        <v>-1604</v>
      </c>
      <c r="D240" s="90">
        <f t="shared" si="27"/>
        <v>-40100</v>
      </c>
      <c r="E240" s="90">
        <f t="shared" si="27"/>
        <v>-1604</v>
      </c>
      <c r="F240" s="90">
        <f t="shared" si="27"/>
        <v>-40100</v>
      </c>
      <c r="G240" s="90">
        <f t="shared" si="27"/>
        <v>-8020</v>
      </c>
      <c r="H240" s="90">
        <f t="shared" si="26"/>
        <v>-8020</v>
      </c>
      <c r="I240" s="90">
        <f t="shared" si="26"/>
        <v>-8020</v>
      </c>
      <c r="J240" s="90">
        <f t="shared" si="26"/>
        <v>-1604</v>
      </c>
      <c r="K240" s="90">
        <f t="shared" si="26"/>
        <v>-8020</v>
      </c>
      <c r="L240" s="90">
        <f t="shared" si="26"/>
        <v>-3208</v>
      </c>
    </row>
    <row r="241" spans="2:12" x14ac:dyDescent="0.25">
      <c r="B241">
        <f t="shared" si="28"/>
        <v>199</v>
      </c>
      <c r="C241" s="90">
        <f t="shared" si="27"/>
        <v>-1602</v>
      </c>
      <c r="D241" s="90">
        <f t="shared" si="27"/>
        <v>-40050</v>
      </c>
      <c r="E241" s="90">
        <f t="shared" si="27"/>
        <v>-1602</v>
      </c>
      <c r="F241" s="90">
        <f t="shared" si="27"/>
        <v>-40050</v>
      </c>
      <c r="G241" s="90">
        <f t="shared" si="27"/>
        <v>-8010</v>
      </c>
      <c r="H241" s="90">
        <f t="shared" si="26"/>
        <v>-8010</v>
      </c>
      <c r="I241" s="90">
        <f t="shared" si="26"/>
        <v>-8010</v>
      </c>
      <c r="J241" s="90">
        <f t="shared" si="26"/>
        <v>-1602</v>
      </c>
      <c r="K241" s="90">
        <f t="shared" si="26"/>
        <v>-8010</v>
      </c>
      <c r="L241" s="90">
        <f t="shared" si="26"/>
        <v>-3204</v>
      </c>
    </row>
    <row r="242" spans="2:12" x14ac:dyDescent="0.25">
      <c r="B242">
        <f t="shared" si="28"/>
        <v>200</v>
      </c>
      <c r="C242" s="90">
        <f t="shared" si="27"/>
        <v>-1600</v>
      </c>
      <c r="D242" s="90">
        <f t="shared" si="27"/>
        <v>-40000</v>
      </c>
      <c r="E242" s="90">
        <f t="shared" si="27"/>
        <v>-1600</v>
      </c>
      <c r="F242" s="90">
        <f t="shared" si="27"/>
        <v>-40000</v>
      </c>
      <c r="G242" s="90">
        <f t="shared" si="27"/>
        <v>-8000</v>
      </c>
      <c r="H242" s="90">
        <f t="shared" si="26"/>
        <v>-8000</v>
      </c>
      <c r="I242" s="90">
        <f t="shared" si="26"/>
        <v>-8000</v>
      </c>
      <c r="J242" s="90">
        <f t="shared" si="26"/>
        <v>-1600</v>
      </c>
      <c r="K242" s="90">
        <f t="shared" si="26"/>
        <v>-8000</v>
      </c>
      <c r="L242" s="90">
        <f t="shared" si="26"/>
        <v>-3200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ABF6-B40A-4B5A-B9D2-294E1005C53B}">
  <dimension ref="A1:W38"/>
  <sheetViews>
    <sheetView topLeftCell="A10" zoomScale="110" zoomScaleNormal="110" workbookViewId="0">
      <selection activeCell="A37" sqref="A37:L38"/>
    </sheetView>
  </sheetViews>
  <sheetFormatPr defaultRowHeight="15" x14ac:dyDescent="0.25"/>
  <cols>
    <col min="1" max="1" width="11.42578125" bestFit="1" customWidth="1"/>
    <col min="2" max="2" width="21" bestFit="1" customWidth="1"/>
    <col min="3" max="3" width="9.85546875" bestFit="1" customWidth="1"/>
    <col min="4" max="4" width="10.85546875" bestFit="1" customWidth="1"/>
    <col min="5" max="10" width="9.85546875" bestFit="1" customWidth="1"/>
    <col min="11" max="11" width="10" bestFit="1" customWidth="1"/>
    <col min="12" max="12" width="10.42578125" bestFit="1" customWidth="1"/>
    <col min="14" max="14" width="14" bestFit="1" customWidth="1"/>
  </cols>
  <sheetData>
    <row r="1" spans="1:23" x14ac:dyDescent="0.25"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</row>
    <row r="2" spans="1:23" ht="15.75" thickBot="1" x14ac:dyDescent="0.3">
      <c r="C2" s="1" t="s">
        <v>0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12</v>
      </c>
      <c r="L2" s="1" t="s">
        <v>10</v>
      </c>
      <c r="N2" s="1" t="s">
        <v>24</v>
      </c>
      <c r="O2" s="1" t="s">
        <v>25</v>
      </c>
      <c r="P2" s="1" t="s">
        <v>26</v>
      </c>
    </row>
    <row r="3" spans="1:23" x14ac:dyDescent="0.25">
      <c r="B3" s="1" t="s">
        <v>13</v>
      </c>
      <c r="C3" s="13">
        <v>2001</v>
      </c>
      <c r="D3" s="14">
        <v>2001</v>
      </c>
      <c r="E3" s="14">
        <v>2001</v>
      </c>
      <c r="F3" s="15">
        <v>2001</v>
      </c>
      <c r="G3" s="13">
        <v>2001</v>
      </c>
      <c r="H3" s="14">
        <v>2001</v>
      </c>
      <c r="I3" s="14">
        <v>2001</v>
      </c>
      <c r="J3" s="14">
        <v>2001</v>
      </c>
      <c r="K3" s="14">
        <v>2001</v>
      </c>
      <c r="L3" s="15">
        <v>2001</v>
      </c>
    </row>
    <row r="4" spans="1:23" x14ac:dyDescent="0.25">
      <c r="B4" s="1" t="s">
        <v>1</v>
      </c>
      <c r="C4" s="9">
        <v>1.7221892668106848</v>
      </c>
      <c r="D4" s="6">
        <v>1.7104311729846053</v>
      </c>
      <c r="E4" s="6">
        <v>1.7158071273443622</v>
      </c>
      <c r="F4" s="3">
        <v>1.7331558706925552</v>
      </c>
      <c r="G4" s="9">
        <v>1.7889093678284322</v>
      </c>
      <c r="H4" s="6">
        <v>1.6625378365719738</v>
      </c>
      <c r="I4" s="6">
        <v>1.7118317392668287</v>
      </c>
      <c r="J4" s="6">
        <v>1.6739307999837378</v>
      </c>
      <c r="K4" s="6">
        <v>1.6492124376937689</v>
      </c>
      <c r="L4" s="3">
        <v>1.3060125706102974</v>
      </c>
      <c r="N4" s="12">
        <f>AVERAGE(C4:F4,J4)</f>
        <v>1.7111028475631891</v>
      </c>
      <c r="O4" s="12">
        <f>AVERAGE(G4:I4)</f>
        <v>1.7210929812224116</v>
      </c>
      <c r="P4" s="12">
        <f>AVERAGE(K4:L4)</f>
        <v>1.4776125041520332</v>
      </c>
    </row>
    <row r="5" spans="1:23" x14ac:dyDescent="0.25">
      <c r="B5" s="1" t="s">
        <v>11</v>
      </c>
      <c r="C5" s="10">
        <v>3.8076962140065898</v>
      </c>
      <c r="D5" s="7">
        <v>0.43997752717738048</v>
      </c>
      <c r="E5" s="7">
        <v>4.6474111892994739E-2</v>
      </c>
      <c r="F5" s="4">
        <v>0.10544635640148749</v>
      </c>
      <c r="G5" s="10">
        <v>0.85914638413776478</v>
      </c>
      <c r="H5" s="7">
        <v>1.2184211645337739</v>
      </c>
      <c r="I5" s="7">
        <v>0.61351151723580777</v>
      </c>
      <c r="J5" s="7">
        <v>1.6444252076416754E-2</v>
      </c>
      <c r="K5" s="7">
        <v>4.6515826070622728</v>
      </c>
      <c r="L5" s="4">
        <v>0.78972504673208188</v>
      </c>
      <c r="M5" s="1" t="s">
        <v>48</v>
      </c>
      <c r="N5" s="19">
        <f>STDEV(C4:F4,J4)</f>
        <v>2.2436505059409643E-2</v>
      </c>
      <c r="O5" s="19">
        <f>STDEV(G4:I4)</f>
        <v>6.3692769840425351E-2</v>
      </c>
      <c r="P5" s="19">
        <f>STDEV(K4:L4)</f>
        <v>0.24267895331704492</v>
      </c>
    </row>
    <row r="6" spans="1:23" ht="15.75" thickBot="1" x14ac:dyDescent="0.3">
      <c r="B6" s="1" t="s">
        <v>2</v>
      </c>
      <c r="C6" s="11">
        <v>0.99865446210071174</v>
      </c>
      <c r="D6" s="8">
        <v>0.99924184085814771</v>
      </c>
      <c r="E6" s="8">
        <v>0.99657027127728848</v>
      </c>
      <c r="F6" s="5">
        <v>0.99845413184483522</v>
      </c>
      <c r="G6" s="11">
        <v>0.99830040379557072</v>
      </c>
      <c r="H6" s="8">
        <v>0.99882214961732674</v>
      </c>
      <c r="I6" s="8">
        <v>0.99880385858922538</v>
      </c>
      <c r="J6" s="8">
        <v>0.998448420525893</v>
      </c>
      <c r="K6" s="8">
        <v>0.99408896863310969</v>
      </c>
      <c r="L6" s="5">
        <v>0.97699569864435598</v>
      </c>
      <c r="N6" s="12">
        <f>AVERAGE(C6:F6,J6)</f>
        <v>0.99827382532137532</v>
      </c>
      <c r="O6" s="12">
        <f>AVERAGE(G6:I6)</f>
        <v>0.99864213733404095</v>
      </c>
      <c r="P6" s="12">
        <f>AVERAGE(K6:L6)</f>
        <v>0.98554233363873278</v>
      </c>
    </row>
    <row r="7" spans="1:23" x14ac:dyDescent="0.25">
      <c r="B7" s="2" t="s">
        <v>14</v>
      </c>
      <c r="C7" s="20">
        <v>1</v>
      </c>
      <c r="D7" s="21">
        <v>100</v>
      </c>
      <c r="E7" s="21">
        <v>10</v>
      </c>
      <c r="F7" s="22">
        <v>100</v>
      </c>
      <c r="G7" s="20">
        <v>10</v>
      </c>
      <c r="H7" s="21">
        <v>10</v>
      </c>
      <c r="I7" s="21">
        <v>10</v>
      </c>
      <c r="J7" s="21">
        <v>10</v>
      </c>
      <c r="K7" s="14">
        <v>1</v>
      </c>
      <c r="L7" s="22">
        <v>1</v>
      </c>
    </row>
    <row r="8" spans="1:23" x14ac:dyDescent="0.25">
      <c r="B8" s="2" t="s">
        <v>15</v>
      </c>
      <c r="C8" s="23">
        <v>2000</v>
      </c>
      <c r="D8" s="18">
        <v>50000</v>
      </c>
      <c r="E8" s="18">
        <v>2000</v>
      </c>
      <c r="F8" s="24">
        <v>50000</v>
      </c>
      <c r="G8" s="23">
        <v>10000</v>
      </c>
      <c r="H8" s="18">
        <v>10000</v>
      </c>
      <c r="I8" s="18">
        <v>10000</v>
      </c>
      <c r="J8" s="18">
        <v>2000</v>
      </c>
      <c r="K8" s="18">
        <v>10000</v>
      </c>
      <c r="L8" s="24">
        <v>4000</v>
      </c>
    </row>
    <row r="9" spans="1:23" x14ac:dyDescent="0.25">
      <c r="B9" s="2" t="s">
        <v>16</v>
      </c>
      <c r="C9" s="23">
        <f>-C8</f>
        <v>-2000</v>
      </c>
      <c r="D9" s="18">
        <f t="shared" ref="D9:L9" si="0">-D8</f>
        <v>-50000</v>
      </c>
      <c r="E9" s="18">
        <f t="shared" si="0"/>
        <v>-2000</v>
      </c>
      <c r="F9" s="24">
        <f t="shared" si="0"/>
        <v>-50000</v>
      </c>
      <c r="G9" s="52">
        <f t="shared" si="0"/>
        <v>-10000</v>
      </c>
      <c r="H9" s="53">
        <f t="shared" si="0"/>
        <v>-10000</v>
      </c>
      <c r="I9" s="53">
        <f t="shared" si="0"/>
        <v>-10000</v>
      </c>
      <c r="J9" s="53">
        <f t="shared" si="0"/>
        <v>-2000</v>
      </c>
      <c r="K9" s="53">
        <f t="shared" si="0"/>
        <v>-10000</v>
      </c>
      <c r="L9" s="54">
        <f t="shared" si="0"/>
        <v>-4000</v>
      </c>
      <c r="N9" s="18"/>
      <c r="O9" s="18"/>
      <c r="P9" s="18"/>
      <c r="Q9" s="18"/>
      <c r="R9" s="18"/>
      <c r="S9" s="18"/>
      <c r="T9" s="18"/>
      <c r="U9" s="18"/>
      <c r="V9" s="18"/>
      <c r="W9" s="18"/>
    </row>
    <row r="10" spans="1:23" x14ac:dyDescent="0.25">
      <c r="B10" s="2" t="s">
        <v>17</v>
      </c>
      <c r="C10" s="25">
        <v>0.35416666666666669</v>
      </c>
      <c r="D10" s="26">
        <v>0.35416666666666669</v>
      </c>
      <c r="E10" s="26">
        <v>0.35416666666666669</v>
      </c>
      <c r="F10" s="27">
        <v>0.35416666666666669</v>
      </c>
      <c r="G10" s="25">
        <v>0.33333333333333331</v>
      </c>
      <c r="H10" s="26">
        <v>0.375</v>
      </c>
      <c r="I10" s="26">
        <v>0.375</v>
      </c>
      <c r="J10" s="26">
        <v>0.39583333333333331</v>
      </c>
      <c r="K10" s="26">
        <v>0.32291666666666669</v>
      </c>
      <c r="L10" s="27">
        <v>0.38541666666666669</v>
      </c>
    </row>
    <row r="11" spans="1:23" x14ac:dyDescent="0.25">
      <c r="B11" s="2" t="s">
        <v>18</v>
      </c>
      <c r="C11" s="25">
        <v>0.67708333333333337</v>
      </c>
      <c r="D11" s="26">
        <v>0.67708333333333337</v>
      </c>
      <c r="E11" s="26">
        <v>0.67708333333333337</v>
      </c>
      <c r="F11" s="27">
        <v>0.67708333333333337</v>
      </c>
      <c r="G11" s="25">
        <v>0.6875</v>
      </c>
      <c r="H11" s="26">
        <v>0.72916666666666663</v>
      </c>
      <c r="I11" s="26">
        <v>0.72916666666666663</v>
      </c>
      <c r="J11" s="26">
        <v>0.67708333333333337</v>
      </c>
      <c r="K11" s="26">
        <v>0.60416666666666663</v>
      </c>
      <c r="L11" s="27">
        <v>0.6875</v>
      </c>
    </row>
    <row r="12" spans="1:23" x14ac:dyDescent="0.25">
      <c r="B12" s="2" t="s">
        <v>19</v>
      </c>
      <c r="C12" s="28" t="s">
        <v>20</v>
      </c>
      <c r="D12" s="29" t="s">
        <v>20</v>
      </c>
      <c r="E12" s="29" t="s">
        <v>20</v>
      </c>
      <c r="F12" s="30" t="s">
        <v>20</v>
      </c>
      <c r="G12" s="28" t="s">
        <v>21</v>
      </c>
      <c r="H12" s="29" t="s">
        <v>22</v>
      </c>
      <c r="I12" s="29" t="s">
        <v>23</v>
      </c>
      <c r="J12" s="29" t="s">
        <v>27</v>
      </c>
      <c r="K12" s="29" t="s">
        <v>28</v>
      </c>
      <c r="L12" s="30" t="s">
        <v>29</v>
      </c>
    </row>
    <row r="13" spans="1:23" x14ac:dyDescent="0.25">
      <c r="B13" s="2" t="s">
        <v>30</v>
      </c>
      <c r="C13" s="31">
        <v>1</v>
      </c>
      <c r="D13" s="32">
        <v>0.25</v>
      </c>
      <c r="E13" s="32">
        <v>0.1</v>
      </c>
      <c r="F13" s="33">
        <v>0.25</v>
      </c>
      <c r="G13" s="31">
        <v>0.5</v>
      </c>
      <c r="H13" s="32">
        <v>0.5</v>
      </c>
      <c r="I13" s="32">
        <v>0.5</v>
      </c>
      <c r="J13" s="32">
        <v>0.1</v>
      </c>
      <c r="K13" s="32">
        <v>5</v>
      </c>
      <c r="L13" s="33">
        <v>1</v>
      </c>
    </row>
    <row r="14" spans="1:23" x14ac:dyDescent="0.25">
      <c r="B14" s="2" t="s">
        <v>35</v>
      </c>
      <c r="C14" s="34">
        <f>(C8-C9)/C13/C7</f>
        <v>4000</v>
      </c>
      <c r="D14" s="35">
        <f t="shared" ref="D14:L14" si="1">(D8-D9)/D13/D7</f>
        <v>4000</v>
      </c>
      <c r="E14" s="35">
        <f t="shared" si="1"/>
        <v>4000</v>
      </c>
      <c r="F14" s="36">
        <f t="shared" si="1"/>
        <v>4000</v>
      </c>
      <c r="G14" s="34">
        <f t="shared" si="1"/>
        <v>4000</v>
      </c>
      <c r="H14" s="35">
        <f t="shared" si="1"/>
        <v>4000</v>
      </c>
      <c r="I14" s="35">
        <f t="shared" si="1"/>
        <v>4000</v>
      </c>
      <c r="J14" s="35">
        <f t="shared" si="1"/>
        <v>4000</v>
      </c>
      <c r="K14" s="35">
        <f t="shared" si="1"/>
        <v>4000</v>
      </c>
      <c r="L14" s="36">
        <f t="shared" si="1"/>
        <v>8000</v>
      </c>
    </row>
    <row r="15" spans="1:23" x14ac:dyDescent="0.25">
      <c r="A15" s="16" t="s">
        <v>34</v>
      </c>
      <c r="B15" s="2" t="s">
        <v>32</v>
      </c>
      <c r="C15" s="55">
        <v>6.1476314922256101</v>
      </c>
      <c r="D15" s="56">
        <v>2.3265638192798761</v>
      </c>
      <c r="E15" s="56">
        <v>0.511364472754685</v>
      </c>
      <c r="F15" s="57">
        <v>0.67725466703585002</v>
      </c>
      <c r="G15" s="55">
        <v>2.7812370713209957</v>
      </c>
      <c r="H15" s="56">
        <v>3.4828793877340534</v>
      </c>
      <c r="I15" s="56">
        <v>2.6148220718248312</v>
      </c>
      <c r="J15" s="56">
        <v>0.45944413270244083</v>
      </c>
      <c r="K15" s="56">
        <v>11.520940766680676</v>
      </c>
      <c r="L15" s="57">
        <v>16.090335784806676</v>
      </c>
    </row>
    <row r="16" spans="1:23" x14ac:dyDescent="0.25">
      <c r="B16" s="2" t="s">
        <v>36</v>
      </c>
      <c r="C16" s="34">
        <f>(C8-C9)/C15/C7</f>
        <v>650.65708721455769</v>
      </c>
      <c r="D16" s="35">
        <f t="shared" ref="D16:L16" si="2">(D8-D9)/D15/D7</f>
        <v>429.81842651946789</v>
      </c>
      <c r="E16" s="35">
        <f t="shared" si="2"/>
        <v>782.22094281448165</v>
      </c>
      <c r="F16" s="36">
        <f t="shared" si="2"/>
        <v>1476.5494409609817</v>
      </c>
      <c r="G16" s="34">
        <f t="shared" si="2"/>
        <v>719.10446636254062</v>
      </c>
      <c r="H16" s="35">
        <f t="shared" si="2"/>
        <v>574.23751366285228</v>
      </c>
      <c r="I16" s="35">
        <f t="shared" si="2"/>
        <v>764.87039846816072</v>
      </c>
      <c r="J16" s="35">
        <f t="shared" si="2"/>
        <v>870.61727755060951</v>
      </c>
      <c r="K16" s="35">
        <f t="shared" si="2"/>
        <v>1735.9693453021932</v>
      </c>
      <c r="L16" s="36">
        <f t="shared" si="2"/>
        <v>497.19285582305946</v>
      </c>
    </row>
    <row r="17" spans="1:14" x14ac:dyDescent="0.25">
      <c r="B17" s="2" t="s">
        <v>38</v>
      </c>
      <c r="C17" s="37">
        <v>2000</v>
      </c>
      <c r="D17" s="38">
        <v>2000</v>
      </c>
      <c r="E17" s="38">
        <v>2000</v>
      </c>
      <c r="F17" s="39">
        <v>2000</v>
      </c>
      <c r="G17" s="37">
        <v>2000</v>
      </c>
      <c r="H17" s="38">
        <v>2000</v>
      </c>
      <c r="I17" s="38">
        <v>2000</v>
      </c>
      <c r="J17" s="38">
        <v>2000</v>
      </c>
      <c r="K17" s="38">
        <v>2000</v>
      </c>
      <c r="L17" s="39">
        <v>2000</v>
      </c>
    </row>
    <row r="18" spans="1:14" x14ac:dyDescent="0.25">
      <c r="A18" t="s">
        <v>39</v>
      </c>
      <c r="B18" s="2" t="s">
        <v>37</v>
      </c>
      <c r="C18" s="62">
        <f>(C8-C9)/C17/C7</f>
        <v>2</v>
      </c>
      <c r="D18" s="61">
        <f>(D8-D9)/D17/D7</f>
        <v>0.5</v>
      </c>
      <c r="E18" s="61">
        <f t="shared" ref="E18:L18" si="3">(E8-E9)/E17/E7</f>
        <v>0.2</v>
      </c>
      <c r="F18" s="63">
        <f t="shared" si="3"/>
        <v>0.5</v>
      </c>
      <c r="G18" s="62">
        <f t="shared" si="3"/>
        <v>1</v>
      </c>
      <c r="H18" s="61">
        <f t="shared" si="3"/>
        <v>1</v>
      </c>
      <c r="I18" s="61">
        <f t="shared" si="3"/>
        <v>1</v>
      </c>
      <c r="J18" s="61">
        <f t="shared" si="3"/>
        <v>0.2</v>
      </c>
      <c r="K18" s="61">
        <f t="shared" si="3"/>
        <v>10</v>
      </c>
      <c r="L18" s="63">
        <f t="shared" si="3"/>
        <v>4</v>
      </c>
    </row>
    <row r="19" spans="1:14" x14ac:dyDescent="0.25">
      <c r="B19" s="2" t="s">
        <v>33</v>
      </c>
      <c r="C19" s="40">
        <f>C18/C15</f>
        <v>0.32532854360727881</v>
      </c>
      <c r="D19" s="41">
        <f>D18/D15</f>
        <v>0.21490921325973394</v>
      </c>
      <c r="E19" s="41">
        <f>E18/E15</f>
        <v>0.39111047140724081</v>
      </c>
      <c r="F19" s="42">
        <f>F18/F15</f>
        <v>0.7382747204804907</v>
      </c>
      <c r="G19" s="40">
        <f t="shared" ref="G19:L19" si="4">G18/G15</f>
        <v>0.35955223318127033</v>
      </c>
      <c r="H19" s="41">
        <f t="shared" si="4"/>
        <v>0.28711875683142613</v>
      </c>
      <c r="I19" s="41">
        <f t="shared" si="4"/>
        <v>0.38243519923408031</v>
      </c>
      <c r="J19" s="41">
        <f>J18/J15</f>
        <v>0.43530863877530479</v>
      </c>
      <c r="K19" s="41">
        <f t="shared" si="4"/>
        <v>0.86798467265109658</v>
      </c>
      <c r="L19" s="42">
        <f t="shared" si="4"/>
        <v>0.24859642791152972</v>
      </c>
      <c r="N19" s="68"/>
    </row>
    <row r="20" spans="1:14" x14ac:dyDescent="0.25">
      <c r="B20" s="2" t="s">
        <v>31</v>
      </c>
      <c r="C20" s="31">
        <f>C18/C13</f>
        <v>2</v>
      </c>
      <c r="D20" s="32">
        <f t="shared" ref="D20:K20" si="5">D18/D13</f>
        <v>2</v>
      </c>
      <c r="E20" s="32">
        <f t="shared" si="5"/>
        <v>2</v>
      </c>
      <c r="F20" s="33">
        <f t="shared" si="5"/>
        <v>2</v>
      </c>
      <c r="G20" s="31">
        <f t="shared" si="5"/>
        <v>2</v>
      </c>
      <c r="H20" s="32">
        <f t="shared" si="5"/>
        <v>2</v>
      </c>
      <c r="I20" s="32">
        <f t="shared" si="5"/>
        <v>2</v>
      </c>
      <c r="J20" s="32">
        <f t="shared" si="5"/>
        <v>2</v>
      </c>
      <c r="K20" s="32">
        <f t="shared" si="5"/>
        <v>2</v>
      </c>
      <c r="L20" s="33">
        <f>L18/L13</f>
        <v>4</v>
      </c>
    </row>
    <row r="21" spans="1:14" x14ac:dyDescent="0.25">
      <c r="A21" t="s">
        <v>47</v>
      </c>
      <c r="B21" s="2" t="s">
        <v>40</v>
      </c>
      <c r="C21" s="43">
        <v>493499</v>
      </c>
      <c r="D21" s="44">
        <v>480468</v>
      </c>
      <c r="E21" s="44">
        <v>670669</v>
      </c>
      <c r="F21" s="45">
        <v>1006199</v>
      </c>
      <c r="G21" s="43">
        <v>925333</v>
      </c>
      <c r="H21" s="44">
        <v>688886</v>
      </c>
      <c r="I21" s="44">
        <v>958848</v>
      </c>
      <c r="J21" s="44">
        <v>1209371</v>
      </c>
      <c r="K21" s="44">
        <v>1703286</v>
      </c>
      <c r="L21" s="45">
        <v>1025619</v>
      </c>
    </row>
    <row r="22" spans="1:14" x14ac:dyDescent="0.25">
      <c r="B22" s="2" t="s">
        <v>41</v>
      </c>
      <c r="C22" s="43">
        <v>2394542</v>
      </c>
      <c r="D22" s="44">
        <v>2683308</v>
      </c>
      <c r="E22" s="44">
        <v>2440922</v>
      </c>
      <c r="F22" s="45">
        <v>2865897</v>
      </c>
      <c r="G22" s="43">
        <v>3490977</v>
      </c>
      <c r="H22" s="44">
        <v>3695767</v>
      </c>
      <c r="I22" s="44">
        <v>3306021</v>
      </c>
      <c r="J22" s="44">
        <v>2630350</v>
      </c>
      <c r="K22" s="44">
        <v>2878874</v>
      </c>
      <c r="L22" s="45">
        <v>2572607</v>
      </c>
    </row>
    <row r="23" spans="1:14" x14ac:dyDescent="0.25">
      <c r="B23" s="2" t="s">
        <v>42</v>
      </c>
      <c r="C23" s="46">
        <f t="shared" ref="C23:K23" si="6">C21/C22</f>
        <v>0.20609327378680348</v>
      </c>
      <c r="D23" s="47">
        <f t="shared" si="6"/>
        <v>0.1790580880018246</v>
      </c>
      <c r="E23" s="47">
        <f t="shared" si="6"/>
        <v>0.27476052081959196</v>
      </c>
      <c r="F23" s="48">
        <f t="shared" si="6"/>
        <v>0.35109391579669474</v>
      </c>
      <c r="G23" s="46">
        <f t="shared" si="6"/>
        <v>0.26506419263146103</v>
      </c>
      <c r="H23" s="47">
        <f t="shared" si="6"/>
        <v>0.18639865554294954</v>
      </c>
      <c r="I23" s="47">
        <f t="shared" si="6"/>
        <v>0.29003082557551813</v>
      </c>
      <c r="J23" s="47">
        <f t="shared" si="6"/>
        <v>0.45977569524968159</v>
      </c>
      <c r="K23" s="47">
        <f t="shared" si="6"/>
        <v>0.59165006874215409</v>
      </c>
      <c r="L23" s="48">
        <f>L21/L22</f>
        <v>0.39866913212939248</v>
      </c>
    </row>
    <row r="24" spans="1:14" x14ac:dyDescent="0.25">
      <c r="A24" t="s">
        <v>43</v>
      </c>
      <c r="B24" s="2" t="s">
        <v>40</v>
      </c>
      <c r="C24" s="43">
        <v>161247</v>
      </c>
      <c r="D24" s="44">
        <v>153859</v>
      </c>
      <c r="E24" s="44">
        <v>236056</v>
      </c>
      <c r="F24" s="45">
        <v>378096</v>
      </c>
      <c r="G24" s="43">
        <v>303804</v>
      </c>
      <c r="H24" s="44">
        <v>220187</v>
      </c>
      <c r="I24" s="44">
        <v>312296</v>
      </c>
      <c r="J24" s="44">
        <v>425168</v>
      </c>
      <c r="K24" s="44">
        <v>799720</v>
      </c>
      <c r="L24" s="45">
        <v>663123</v>
      </c>
    </row>
    <row r="25" spans="1:14" x14ac:dyDescent="0.25">
      <c r="B25" s="2" t="s">
        <v>41</v>
      </c>
      <c r="C25" s="43">
        <v>2394533</v>
      </c>
      <c r="D25" s="44">
        <v>2683299</v>
      </c>
      <c r="E25" s="44">
        <v>2440913</v>
      </c>
      <c r="F25" s="45">
        <v>2865888</v>
      </c>
      <c r="G25" s="43">
        <v>3490968</v>
      </c>
      <c r="H25" s="44">
        <v>3695758</v>
      </c>
      <c r="I25" s="44">
        <v>3306012</v>
      </c>
      <c r="J25" s="44">
        <v>2630341</v>
      </c>
      <c r="K25" s="44">
        <v>2878865</v>
      </c>
      <c r="L25" s="45">
        <v>2572598</v>
      </c>
    </row>
    <row r="26" spans="1:14" x14ac:dyDescent="0.25">
      <c r="B26" s="2" t="s">
        <v>42</v>
      </c>
      <c r="C26" s="46">
        <f t="shared" ref="C26:K26" si="7">C24/C25</f>
        <v>6.7339644097617363E-2</v>
      </c>
      <c r="D26" s="47">
        <f t="shared" si="7"/>
        <v>5.7339491424548659E-2</v>
      </c>
      <c r="E26" s="47">
        <f t="shared" si="7"/>
        <v>9.670807603548344E-2</v>
      </c>
      <c r="F26" s="48">
        <f t="shared" si="7"/>
        <v>0.13192978930090779</v>
      </c>
      <c r="G26" s="46">
        <f t="shared" si="7"/>
        <v>8.7025718940992869E-2</v>
      </c>
      <c r="H26" s="47">
        <f t="shared" si="7"/>
        <v>5.9578305722398493E-2</v>
      </c>
      <c r="I26" s="47">
        <f t="shared" si="7"/>
        <v>9.446305700039806E-2</v>
      </c>
      <c r="J26" s="47">
        <f t="shared" si="7"/>
        <v>0.16163987863170592</v>
      </c>
      <c r="K26" s="47">
        <f t="shared" si="7"/>
        <v>0.27779003183546291</v>
      </c>
      <c r="L26" s="48">
        <f>L24/L25</f>
        <v>0.25776394135422637</v>
      </c>
    </row>
    <row r="27" spans="1:14" x14ac:dyDescent="0.25">
      <c r="A27" t="s">
        <v>44</v>
      </c>
      <c r="B27" s="2" t="s">
        <v>40</v>
      </c>
      <c r="C27" s="43">
        <v>46618</v>
      </c>
      <c r="D27" s="44">
        <v>45056</v>
      </c>
      <c r="E27" s="44">
        <v>53590</v>
      </c>
      <c r="F27" s="45">
        <v>114068</v>
      </c>
      <c r="G27" s="43">
        <v>85192</v>
      </c>
      <c r="H27" s="44">
        <v>65186</v>
      </c>
      <c r="I27" s="44">
        <v>90590</v>
      </c>
      <c r="J27" s="44">
        <v>121152</v>
      </c>
      <c r="K27" s="44">
        <v>213616</v>
      </c>
      <c r="L27" s="45">
        <v>119617</v>
      </c>
    </row>
    <row r="28" spans="1:14" x14ac:dyDescent="0.25">
      <c r="B28" s="2" t="s">
        <v>41</v>
      </c>
      <c r="C28" s="43">
        <v>2394443</v>
      </c>
      <c r="D28" s="44">
        <v>2683209</v>
      </c>
      <c r="E28" s="44">
        <v>2440823</v>
      </c>
      <c r="F28" s="45">
        <v>2865798</v>
      </c>
      <c r="G28" s="43">
        <v>3490878</v>
      </c>
      <c r="H28" s="44">
        <v>3695668</v>
      </c>
      <c r="I28" s="44">
        <v>3305922</v>
      </c>
      <c r="J28" s="44">
        <v>2630251</v>
      </c>
      <c r="K28" s="44">
        <v>2878775</v>
      </c>
      <c r="L28" s="45">
        <v>2572508</v>
      </c>
    </row>
    <row r="29" spans="1:14" x14ac:dyDescent="0.25">
      <c r="B29" s="2" t="s">
        <v>42</v>
      </c>
      <c r="C29" s="46">
        <f t="shared" ref="C29:K29" si="8">C27/C28</f>
        <v>1.946924608353592E-2</v>
      </c>
      <c r="D29" s="47">
        <f t="shared" si="8"/>
        <v>1.6791833957026828E-2</v>
      </c>
      <c r="E29" s="47">
        <f t="shared" si="8"/>
        <v>2.1955709201363638E-2</v>
      </c>
      <c r="F29" s="48">
        <f t="shared" si="8"/>
        <v>3.9803224093254305E-2</v>
      </c>
      <c r="G29" s="46">
        <f t="shared" si="8"/>
        <v>2.440417568302301E-2</v>
      </c>
      <c r="H29" s="47">
        <f t="shared" si="8"/>
        <v>1.7638489171646371E-2</v>
      </c>
      <c r="I29" s="47">
        <f t="shared" si="8"/>
        <v>2.7402340406095484E-2</v>
      </c>
      <c r="J29" s="47">
        <f t="shared" si="8"/>
        <v>4.6061003303487003E-2</v>
      </c>
      <c r="K29" s="47">
        <f t="shared" si="8"/>
        <v>7.4203784595878453E-2</v>
      </c>
      <c r="L29" s="48">
        <f>L27/L28</f>
        <v>4.6498203309766187E-2</v>
      </c>
    </row>
    <row r="30" spans="1:14" x14ac:dyDescent="0.25">
      <c r="A30" t="s">
        <v>45</v>
      </c>
      <c r="B30" s="2" t="s">
        <v>40</v>
      </c>
      <c r="C30" s="43">
        <v>10646</v>
      </c>
      <c r="D30" s="44">
        <v>10005</v>
      </c>
      <c r="E30" s="44">
        <v>13406</v>
      </c>
      <c r="F30" s="45">
        <v>26888</v>
      </c>
      <c r="G30" s="43">
        <v>20411</v>
      </c>
      <c r="H30" s="44">
        <v>13383</v>
      </c>
      <c r="I30" s="44">
        <v>21568</v>
      </c>
      <c r="J30" s="44">
        <v>27229</v>
      </c>
      <c r="K30" s="44">
        <v>41747</v>
      </c>
      <c r="L30" s="45">
        <v>11901</v>
      </c>
    </row>
    <row r="31" spans="1:14" x14ac:dyDescent="0.25">
      <c r="B31" s="2" t="s">
        <v>41</v>
      </c>
      <c r="C31" s="43">
        <v>2393543</v>
      </c>
      <c r="D31" s="44">
        <v>2682309</v>
      </c>
      <c r="E31" s="44">
        <v>2439923</v>
      </c>
      <c r="F31" s="45">
        <v>2864898</v>
      </c>
      <c r="G31" s="43">
        <v>3489978</v>
      </c>
      <c r="H31" s="44">
        <v>3694768</v>
      </c>
      <c r="I31" s="44">
        <v>3305022</v>
      </c>
      <c r="J31" s="44">
        <v>2629351</v>
      </c>
      <c r="K31" s="44">
        <v>2877875</v>
      </c>
      <c r="L31" s="45">
        <v>2571608</v>
      </c>
    </row>
    <row r="32" spans="1:14" x14ac:dyDescent="0.25">
      <c r="B32" s="2" t="s">
        <v>42</v>
      </c>
      <c r="C32" s="46">
        <f t="shared" ref="C32:K32" si="9">C30/C31</f>
        <v>4.4477997679590467E-3</v>
      </c>
      <c r="D32" s="47">
        <f t="shared" si="9"/>
        <v>3.7299953137390211E-3</v>
      </c>
      <c r="E32" s="47">
        <f t="shared" si="9"/>
        <v>5.4944356850605532E-3</v>
      </c>
      <c r="F32" s="48">
        <f t="shared" si="9"/>
        <v>9.3853254112362811E-3</v>
      </c>
      <c r="G32" s="46">
        <f t="shared" si="9"/>
        <v>5.8484609358569022E-3</v>
      </c>
      <c r="H32" s="47">
        <f t="shared" si="9"/>
        <v>3.6221489414220323E-3</v>
      </c>
      <c r="I32" s="47">
        <f t="shared" si="9"/>
        <v>6.5258264544078674E-3</v>
      </c>
      <c r="J32" s="47">
        <f t="shared" si="9"/>
        <v>1.0355787416742764E-2</v>
      </c>
      <c r="K32" s="47">
        <f t="shared" si="9"/>
        <v>1.4506189462711202E-2</v>
      </c>
      <c r="L32" s="48">
        <f>L30/L31</f>
        <v>4.6278437460141666E-3</v>
      </c>
    </row>
    <row r="33" spans="1:12" x14ac:dyDescent="0.25">
      <c r="A33" t="s">
        <v>46</v>
      </c>
      <c r="B33" s="2" t="s">
        <v>40</v>
      </c>
      <c r="C33" s="43">
        <v>2922</v>
      </c>
      <c r="D33" s="44">
        <v>2644</v>
      </c>
      <c r="E33" s="44">
        <v>3534</v>
      </c>
      <c r="F33" s="45">
        <v>6773</v>
      </c>
      <c r="G33" s="43">
        <v>6188</v>
      </c>
      <c r="H33" s="44">
        <v>3575</v>
      </c>
      <c r="I33" s="44">
        <v>6180</v>
      </c>
      <c r="J33" s="44">
        <v>6324</v>
      </c>
      <c r="K33" s="44">
        <v>10741</v>
      </c>
      <c r="L33" s="45">
        <v>3185</v>
      </c>
    </row>
    <row r="34" spans="1:12" x14ac:dyDescent="0.25">
      <c r="B34" s="2" t="s">
        <v>41</v>
      </c>
      <c r="C34" s="43">
        <v>2384543</v>
      </c>
      <c r="D34" s="44">
        <v>2673309</v>
      </c>
      <c r="E34" s="44">
        <v>2430923</v>
      </c>
      <c r="F34" s="45">
        <v>2855898</v>
      </c>
      <c r="G34" s="43">
        <v>3480978</v>
      </c>
      <c r="H34" s="44">
        <v>3685768</v>
      </c>
      <c r="I34" s="44">
        <v>3296022</v>
      </c>
      <c r="J34" s="44">
        <v>2620351</v>
      </c>
      <c r="K34" s="44">
        <v>2868875</v>
      </c>
      <c r="L34" s="45">
        <v>2562608</v>
      </c>
    </row>
    <row r="35" spans="1:12" ht="15.75" thickBot="1" x14ac:dyDescent="0.3">
      <c r="B35" s="2" t="s">
        <v>42</v>
      </c>
      <c r="C35" s="49">
        <f t="shared" ref="C35:K35" si="10">C33/C34</f>
        <v>1.2253920352872647E-3</v>
      </c>
      <c r="D35" s="50">
        <f t="shared" si="10"/>
        <v>9.8903643387277711E-4</v>
      </c>
      <c r="E35" s="50">
        <f t="shared" si="10"/>
        <v>1.4537687948157963E-3</v>
      </c>
      <c r="F35" s="51">
        <f t="shared" si="10"/>
        <v>2.371583298843306E-3</v>
      </c>
      <c r="G35" s="49">
        <f t="shared" si="10"/>
        <v>1.7776613354063139E-3</v>
      </c>
      <c r="H35" s="50">
        <f t="shared" si="10"/>
        <v>9.6994710464684704E-4</v>
      </c>
      <c r="I35" s="50">
        <f t="shared" si="10"/>
        <v>1.8749874849136323E-3</v>
      </c>
      <c r="J35" s="50">
        <f t="shared" si="10"/>
        <v>2.4134171338114625E-3</v>
      </c>
      <c r="K35" s="50">
        <f t="shared" si="10"/>
        <v>3.7439762973290923E-3</v>
      </c>
      <c r="L35" s="51">
        <f>L33/L34</f>
        <v>1.2428744466574677E-3</v>
      </c>
    </row>
    <row r="36" spans="1:12" ht="15.75" thickBot="1" x14ac:dyDescent="0.3"/>
    <row r="37" spans="1:12" ht="15.75" thickBot="1" x14ac:dyDescent="0.3">
      <c r="A37" t="s">
        <v>15</v>
      </c>
      <c r="B37" s="16">
        <v>0.1</v>
      </c>
      <c r="C37" s="58">
        <f>MAX(ROUND(C15*$B$37/C13,0)*C13,C13)*C17*C7</f>
        <v>2000</v>
      </c>
      <c r="D37" s="59">
        <f>MAX(ROUND(D15*$B$37/D13,0)*D13,D13)*D17*D7</f>
        <v>50000</v>
      </c>
      <c r="E37" s="59">
        <f>MAX(ROUND(E15*$B$37/E13,0)*E13,E13)*E17*E7</f>
        <v>2000</v>
      </c>
      <c r="F37" s="59">
        <f>MAX(ROUND(F15*$B$37/F13,0)*F13,F13)*F17*F7</f>
        <v>50000</v>
      </c>
      <c r="G37" s="59">
        <f>MAX(ROUND(G15*$B$37/G13,0)*G13,G13)*G17*G7</f>
        <v>10000</v>
      </c>
      <c r="H37" s="59">
        <f>MAX(ROUND(H15*$B$37/H13,0)*H13,H13)*H17*H7</f>
        <v>10000</v>
      </c>
      <c r="I37" s="59">
        <f>MAX(ROUND(I15*$B$37/I13,0)*I13,I13)*I17*I7</f>
        <v>10000</v>
      </c>
      <c r="J37" s="59">
        <f>MAX(ROUND(J15*$B$37/J13,0)*J13,J13)*J17*J7</f>
        <v>2000</v>
      </c>
      <c r="K37" s="59">
        <f>MAX(ROUND(K15*$B$37/K13,0)*K13,K13)*K17*K7</f>
        <v>10000</v>
      </c>
      <c r="L37" s="60">
        <f>MAX(ROUND(L15*$B$37/L13,0)*L13,L13)*L17*L7</f>
        <v>4000</v>
      </c>
    </row>
    <row r="38" spans="1:12" x14ac:dyDescent="0.25">
      <c r="B38" s="1" t="s">
        <v>37</v>
      </c>
      <c r="C38" s="92">
        <f>(C37+C37)/C17</f>
        <v>2</v>
      </c>
      <c r="D38" s="92">
        <f>(D37+D37)/D17</f>
        <v>50</v>
      </c>
      <c r="E38" s="92">
        <f>(E37+E37)/E17</f>
        <v>2</v>
      </c>
      <c r="F38" s="92">
        <f>(F37+F37)/F17</f>
        <v>50</v>
      </c>
      <c r="G38" s="92">
        <f>(G37+G37)/G17</f>
        <v>10</v>
      </c>
      <c r="H38" s="92">
        <f>(H37+H37)/H17</f>
        <v>10</v>
      </c>
      <c r="I38" s="92">
        <f>(I37+I37)/I17</f>
        <v>10</v>
      </c>
      <c r="J38" s="92">
        <f>(J37+J37)/J17</f>
        <v>2</v>
      </c>
      <c r="K38" s="92">
        <f>(K37+K37)/K17</f>
        <v>10</v>
      </c>
      <c r="L38" s="92">
        <f>(L37+L37)/L17</f>
        <v>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2602-B8E3-4199-932D-3AF123F0A363}">
  <dimension ref="A1:P38"/>
  <sheetViews>
    <sheetView topLeftCell="A10" zoomScale="110" zoomScaleNormal="110" workbookViewId="0">
      <selection activeCell="A37" sqref="A37:L38"/>
    </sheetView>
  </sheetViews>
  <sheetFormatPr defaultRowHeight="15" x14ac:dyDescent="0.25"/>
  <cols>
    <col min="1" max="1" width="11.42578125" bestFit="1" customWidth="1"/>
    <col min="2" max="2" width="21" bestFit="1" customWidth="1"/>
    <col min="3" max="3" width="9.85546875" bestFit="1" customWidth="1"/>
    <col min="4" max="4" width="10.85546875" bestFit="1" customWidth="1"/>
    <col min="5" max="10" width="9.85546875" bestFit="1" customWidth="1"/>
    <col min="11" max="11" width="10" bestFit="1" customWidth="1"/>
    <col min="12" max="12" width="10.42578125" bestFit="1" customWidth="1"/>
    <col min="14" max="14" width="14" bestFit="1" customWidth="1"/>
  </cols>
  <sheetData>
    <row r="1" spans="1:16" x14ac:dyDescent="0.25"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</row>
    <row r="2" spans="1:16" ht="15.75" thickBot="1" x14ac:dyDescent="0.3">
      <c r="C2" s="1" t="s">
        <v>0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12</v>
      </c>
      <c r="L2" s="1" t="s">
        <v>10</v>
      </c>
      <c r="N2" s="1" t="s">
        <v>24</v>
      </c>
      <c r="O2" s="1" t="s">
        <v>25</v>
      </c>
      <c r="P2" s="1" t="s">
        <v>26</v>
      </c>
    </row>
    <row r="3" spans="1:16" x14ac:dyDescent="0.25">
      <c r="B3" s="1" t="s">
        <v>13</v>
      </c>
      <c r="C3" s="13">
        <v>2001</v>
      </c>
      <c r="D3" s="14">
        <v>2001</v>
      </c>
      <c r="E3" s="14">
        <v>2001</v>
      </c>
      <c r="F3" s="15">
        <v>2001</v>
      </c>
      <c r="G3" s="13">
        <v>2001</v>
      </c>
      <c r="H3" s="14">
        <v>2001</v>
      </c>
      <c r="I3" s="14">
        <v>2001</v>
      </c>
      <c r="J3" s="14">
        <v>2001</v>
      </c>
      <c r="K3" s="14">
        <v>2001</v>
      </c>
      <c r="L3" s="15">
        <v>2001</v>
      </c>
    </row>
    <row r="4" spans="1:16" x14ac:dyDescent="0.25">
      <c r="B4" s="1" t="s">
        <v>1</v>
      </c>
      <c r="C4" s="9">
        <v>1.7221892668106848</v>
      </c>
      <c r="D4" s="6">
        <v>1.7208023223813744</v>
      </c>
      <c r="E4" s="6">
        <v>1.7158071273443622</v>
      </c>
      <c r="F4" s="3">
        <v>1.7331558706925552</v>
      </c>
      <c r="G4" s="9">
        <v>1.7889093678284322</v>
      </c>
      <c r="H4" s="6">
        <v>1.6625378365719738</v>
      </c>
      <c r="I4" s="6">
        <v>1.7118317392668287</v>
      </c>
      <c r="J4" s="6">
        <v>1.6739307999837378</v>
      </c>
      <c r="K4" s="6">
        <v>1.6492124376937689</v>
      </c>
      <c r="L4" s="3">
        <v>1.3685433692139917</v>
      </c>
      <c r="N4" s="12">
        <f>AVERAGE(C4:F4,J4)</f>
        <v>1.713177077442543</v>
      </c>
      <c r="O4" s="12">
        <f>AVERAGE(G4:I4)</f>
        <v>1.7210929812224116</v>
      </c>
      <c r="P4" s="12">
        <f>AVERAGE(K4:L4)</f>
        <v>1.5088779034538802</v>
      </c>
    </row>
    <row r="5" spans="1:16" x14ac:dyDescent="0.25">
      <c r="B5" s="1" t="s">
        <v>11</v>
      </c>
      <c r="C5" s="10">
        <v>3.8076962140065898</v>
      </c>
      <c r="D5" s="7">
        <v>0.45878135690118427</v>
      </c>
      <c r="E5" s="7">
        <v>4.6474111892994739E-2</v>
      </c>
      <c r="F5" s="4">
        <v>0.10544635640148749</v>
      </c>
      <c r="G5" s="10">
        <v>0.85914638413776478</v>
      </c>
      <c r="H5" s="7">
        <v>1.2184211645337739</v>
      </c>
      <c r="I5" s="7">
        <v>0.61351151723580777</v>
      </c>
      <c r="J5" s="7">
        <v>1.6444252076416754E-2</v>
      </c>
      <c r="K5" s="7">
        <v>4.6515826070622728</v>
      </c>
      <c r="L5" s="4">
        <v>1.2052514099901985</v>
      </c>
      <c r="M5" s="1" t="s">
        <v>48</v>
      </c>
      <c r="N5" s="19">
        <f>STDEV(C4:F4,J4)</f>
        <v>2.2834751773178598E-2</v>
      </c>
      <c r="O5" s="19">
        <f>STDEV(G4:I4)</f>
        <v>6.3692769840425351E-2</v>
      </c>
      <c r="P5" s="19">
        <f>STDEV(K4:L4)</f>
        <v>0.19846300159136196</v>
      </c>
    </row>
    <row r="6" spans="1:16" ht="15.75" thickBot="1" x14ac:dyDescent="0.3">
      <c r="B6" s="1" t="s">
        <v>2</v>
      </c>
      <c r="C6" s="11">
        <v>0.99865446210071174</v>
      </c>
      <c r="D6" s="8">
        <v>0.99909211275406962</v>
      </c>
      <c r="E6" s="8">
        <v>0.99657027127728848</v>
      </c>
      <c r="F6" s="5">
        <v>0.99845413184483522</v>
      </c>
      <c r="G6" s="11">
        <v>0.99830040379557072</v>
      </c>
      <c r="H6" s="8">
        <v>0.99882214961732674</v>
      </c>
      <c r="I6" s="8">
        <v>0.99880385858922538</v>
      </c>
      <c r="J6" s="8">
        <v>0.998448420525893</v>
      </c>
      <c r="K6" s="8">
        <v>0.99408896863310969</v>
      </c>
      <c r="L6" s="5">
        <v>0.98357378207809132</v>
      </c>
      <c r="N6" s="12">
        <f>AVERAGE(C6:F6,J6)</f>
        <v>0.99824387970055961</v>
      </c>
      <c r="O6" s="12">
        <f>AVERAGE(G6:I6)</f>
        <v>0.99864213733404095</v>
      </c>
      <c r="P6" s="12">
        <f>AVERAGE(K6:L6)</f>
        <v>0.98883137535560051</v>
      </c>
    </row>
    <row r="7" spans="1:16" x14ac:dyDescent="0.25">
      <c r="B7" s="2" t="s">
        <v>14</v>
      </c>
      <c r="C7" s="20">
        <v>1</v>
      </c>
      <c r="D7" s="21">
        <v>100</v>
      </c>
      <c r="E7" s="21">
        <v>10</v>
      </c>
      <c r="F7" s="22">
        <v>100</v>
      </c>
      <c r="G7" s="20">
        <v>10</v>
      </c>
      <c r="H7" s="21">
        <v>10</v>
      </c>
      <c r="I7" s="21">
        <v>10</v>
      </c>
      <c r="J7" s="21">
        <v>10</v>
      </c>
      <c r="K7" s="14">
        <v>1</v>
      </c>
      <c r="L7" s="22">
        <v>1</v>
      </c>
    </row>
    <row r="8" spans="1:16" x14ac:dyDescent="0.25">
      <c r="B8" s="2" t="s">
        <v>15</v>
      </c>
      <c r="C8" s="23">
        <v>2000</v>
      </c>
      <c r="D8" s="18">
        <v>100000</v>
      </c>
      <c r="E8" s="18">
        <v>2000</v>
      </c>
      <c r="F8" s="24">
        <v>50000</v>
      </c>
      <c r="G8" s="23">
        <v>10000</v>
      </c>
      <c r="H8" s="18">
        <v>10000</v>
      </c>
      <c r="I8" s="18">
        <v>10000</v>
      </c>
      <c r="J8" s="18">
        <v>2000</v>
      </c>
      <c r="K8" s="18">
        <v>10000</v>
      </c>
      <c r="L8" s="24">
        <v>6000</v>
      </c>
    </row>
    <row r="9" spans="1:16" x14ac:dyDescent="0.25">
      <c r="B9" s="2" t="s">
        <v>16</v>
      </c>
      <c r="C9" s="23">
        <f>-C8</f>
        <v>-2000</v>
      </c>
      <c r="D9" s="18">
        <f t="shared" ref="D9:L9" si="0">-D8</f>
        <v>-100000</v>
      </c>
      <c r="E9" s="18">
        <f t="shared" si="0"/>
        <v>-2000</v>
      </c>
      <c r="F9" s="24">
        <f t="shared" si="0"/>
        <v>-50000</v>
      </c>
      <c r="G9" s="52">
        <f t="shared" si="0"/>
        <v>-10000</v>
      </c>
      <c r="H9" s="53">
        <f t="shared" si="0"/>
        <v>-10000</v>
      </c>
      <c r="I9" s="53">
        <f t="shared" si="0"/>
        <v>-10000</v>
      </c>
      <c r="J9" s="53">
        <f t="shared" si="0"/>
        <v>-2000</v>
      </c>
      <c r="K9" s="53">
        <f t="shared" si="0"/>
        <v>-10000</v>
      </c>
      <c r="L9" s="54">
        <f t="shared" si="0"/>
        <v>-6000</v>
      </c>
    </row>
    <row r="10" spans="1:16" x14ac:dyDescent="0.25">
      <c r="B10" s="2" t="s">
        <v>17</v>
      </c>
      <c r="C10" s="25">
        <v>0.35416666666666669</v>
      </c>
      <c r="D10" s="26">
        <v>0.35416666666666669</v>
      </c>
      <c r="E10" s="26">
        <v>0.35416666666666669</v>
      </c>
      <c r="F10" s="27">
        <v>0.35416666666666669</v>
      </c>
      <c r="G10" s="25">
        <v>0.33333333333333331</v>
      </c>
      <c r="H10" s="26">
        <v>0.375</v>
      </c>
      <c r="I10" s="26">
        <v>0.375</v>
      </c>
      <c r="J10" s="26">
        <v>0.39583333333333331</v>
      </c>
      <c r="K10" s="26">
        <v>0.32291666666666669</v>
      </c>
      <c r="L10" s="27">
        <v>0.38541666666666669</v>
      </c>
    </row>
    <row r="11" spans="1:16" x14ac:dyDescent="0.25">
      <c r="B11" s="2" t="s">
        <v>18</v>
      </c>
      <c r="C11" s="25">
        <v>0.67708333333333337</v>
      </c>
      <c r="D11" s="26">
        <v>0.67708333333333337</v>
      </c>
      <c r="E11" s="26">
        <v>0.67708333333333337</v>
      </c>
      <c r="F11" s="27">
        <v>0.67708333333333337</v>
      </c>
      <c r="G11" s="25">
        <v>0.6875</v>
      </c>
      <c r="H11" s="26">
        <v>0.72916666666666663</v>
      </c>
      <c r="I11" s="26">
        <v>0.72916666666666663</v>
      </c>
      <c r="J11" s="26">
        <v>0.67708333333333337</v>
      </c>
      <c r="K11" s="26">
        <v>0.60416666666666663</v>
      </c>
      <c r="L11" s="27">
        <v>0.6875</v>
      </c>
    </row>
    <row r="12" spans="1:16" x14ac:dyDescent="0.25">
      <c r="B12" s="2" t="s">
        <v>19</v>
      </c>
      <c r="C12" s="28" t="s">
        <v>20</v>
      </c>
      <c r="D12" s="29" t="s">
        <v>20</v>
      </c>
      <c r="E12" s="29" t="s">
        <v>20</v>
      </c>
      <c r="F12" s="30" t="s">
        <v>20</v>
      </c>
      <c r="G12" s="28" t="s">
        <v>21</v>
      </c>
      <c r="H12" s="29" t="s">
        <v>22</v>
      </c>
      <c r="I12" s="29" t="s">
        <v>23</v>
      </c>
      <c r="J12" s="29" t="s">
        <v>27</v>
      </c>
      <c r="K12" s="29" t="s">
        <v>28</v>
      </c>
      <c r="L12" s="30" t="s">
        <v>29</v>
      </c>
    </row>
    <row r="13" spans="1:16" x14ac:dyDescent="0.25">
      <c r="B13" s="2" t="s">
        <v>30</v>
      </c>
      <c r="C13" s="31">
        <v>1</v>
      </c>
      <c r="D13" s="32">
        <v>0.25</v>
      </c>
      <c r="E13" s="32">
        <v>0.1</v>
      </c>
      <c r="F13" s="33">
        <v>0.25</v>
      </c>
      <c r="G13" s="31">
        <v>0.5</v>
      </c>
      <c r="H13" s="32">
        <v>0.5</v>
      </c>
      <c r="I13" s="32">
        <v>0.5</v>
      </c>
      <c r="J13" s="32">
        <v>0.1</v>
      </c>
      <c r="K13" s="32">
        <v>5</v>
      </c>
      <c r="L13" s="33">
        <v>1</v>
      </c>
    </row>
    <row r="14" spans="1:16" x14ac:dyDescent="0.25">
      <c r="B14" s="2" t="s">
        <v>35</v>
      </c>
      <c r="C14" s="34">
        <f>(C8-C9)/C13/C7</f>
        <v>4000</v>
      </c>
      <c r="D14" s="35">
        <f t="shared" ref="D14:L14" si="1">(D8-D9)/D13/D7</f>
        <v>8000</v>
      </c>
      <c r="E14" s="35">
        <f t="shared" si="1"/>
        <v>4000</v>
      </c>
      <c r="F14" s="36">
        <f t="shared" si="1"/>
        <v>4000</v>
      </c>
      <c r="G14" s="34">
        <f t="shared" si="1"/>
        <v>4000</v>
      </c>
      <c r="H14" s="35">
        <f t="shared" si="1"/>
        <v>4000</v>
      </c>
      <c r="I14" s="35">
        <f t="shared" si="1"/>
        <v>4000</v>
      </c>
      <c r="J14" s="35">
        <f t="shared" si="1"/>
        <v>4000</v>
      </c>
      <c r="K14" s="35">
        <f t="shared" si="1"/>
        <v>4000</v>
      </c>
      <c r="L14" s="36">
        <f t="shared" si="1"/>
        <v>12000</v>
      </c>
    </row>
    <row r="15" spans="1:16" x14ac:dyDescent="0.25">
      <c r="A15" s="16" t="s">
        <v>34</v>
      </c>
      <c r="B15" s="2" t="s">
        <v>32</v>
      </c>
      <c r="C15" s="55">
        <v>6.1476314922256101</v>
      </c>
      <c r="D15" s="56">
        <v>2.3265638192798761</v>
      </c>
      <c r="E15" s="56">
        <v>0.511364472754685</v>
      </c>
      <c r="F15" s="57">
        <v>0.67725466703585002</v>
      </c>
      <c r="G15" s="55">
        <v>2.7812370713209957</v>
      </c>
      <c r="H15" s="56">
        <v>3.4828793877340534</v>
      </c>
      <c r="I15" s="56">
        <v>2.6148220718248312</v>
      </c>
      <c r="J15" s="56">
        <v>0.45944413270244083</v>
      </c>
      <c r="K15" s="56">
        <v>11.520940766680676</v>
      </c>
      <c r="L15" s="57">
        <v>16.090335784806676</v>
      </c>
    </row>
    <row r="16" spans="1:16" x14ac:dyDescent="0.25">
      <c r="B16" s="2" t="s">
        <v>36</v>
      </c>
      <c r="C16" s="34">
        <f>(C8-C9)/C15/C7</f>
        <v>650.65708721455769</v>
      </c>
      <c r="D16" s="35">
        <f t="shared" ref="D16:L16" si="2">(D8-D9)/D15/D7</f>
        <v>859.63685303893578</v>
      </c>
      <c r="E16" s="35">
        <f t="shared" si="2"/>
        <v>782.22094281448165</v>
      </c>
      <c r="F16" s="36">
        <f t="shared" si="2"/>
        <v>1476.5494409609817</v>
      </c>
      <c r="G16" s="34">
        <f t="shared" si="2"/>
        <v>719.10446636254062</v>
      </c>
      <c r="H16" s="35">
        <f t="shared" si="2"/>
        <v>574.23751366285228</v>
      </c>
      <c r="I16" s="35">
        <f t="shared" si="2"/>
        <v>764.87039846816072</v>
      </c>
      <c r="J16" s="35">
        <f t="shared" si="2"/>
        <v>870.61727755060951</v>
      </c>
      <c r="K16" s="35">
        <f t="shared" si="2"/>
        <v>1735.9693453021932</v>
      </c>
      <c r="L16" s="36">
        <f t="shared" si="2"/>
        <v>745.78928373458916</v>
      </c>
    </row>
    <row r="17" spans="1:12" x14ac:dyDescent="0.25">
      <c r="B17" s="2" t="s">
        <v>38</v>
      </c>
      <c r="C17" s="37">
        <v>2000</v>
      </c>
      <c r="D17" s="38">
        <v>2000</v>
      </c>
      <c r="E17" s="38">
        <v>2000</v>
      </c>
      <c r="F17" s="39">
        <v>2000</v>
      </c>
      <c r="G17" s="37">
        <v>2000</v>
      </c>
      <c r="H17" s="38">
        <v>2000</v>
      </c>
      <c r="I17" s="38">
        <v>2000</v>
      </c>
      <c r="J17" s="38">
        <v>2000</v>
      </c>
      <c r="K17" s="38">
        <v>2000</v>
      </c>
      <c r="L17" s="39">
        <v>2000</v>
      </c>
    </row>
    <row r="18" spans="1:12" x14ac:dyDescent="0.25">
      <c r="A18" t="s">
        <v>39</v>
      </c>
      <c r="B18" s="2" t="s">
        <v>37</v>
      </c>
      <c r="C18" s="62">
        <f>(C8-C9)/C17/C7</f>
        <v>2</v>
      </c>
      <c r="D18" s="61">
        <f>(D8-D9)/D17/D7</f>
        <v>1</v>
      </c>
      <c r="E18" s="61">
        <f t="shared" ref="E18:L18" si="3">(E8-E9)/E17/E7</f>
        <v>0.2</v>
      </c>
      <c r="F18" s="63">
        <f t="shared" si="3"/>
        <v>0.5</v>
      </c>
      <c r="G18" s="62">
        <f t="shared" si="3"/>
        <v>1</v>
      </c>
      <c r="H18" s="61">
        <f t="shared" si="3"/>
        <v>1</v>
      </c>
      <c r="I18" s="61">
        <f t="shared" si="3"/>
        <v>1</v>
      </c>
      <c r="J18" s="61">
        <f t="shared" si="3"/>
        <v>0.2</v>
      </c>
      <c r="K18" s="61">
        <f t="shared" si="3"/>
        <v>10</v>
      </c>
      <c r="L18" s="63">
        <f t="shared" si="3"/>
        <v>6</v>
      </c>
    </row>
    <row r="19" spans="1:12" x14ac:dyDescent="0.25">
      <c r="B19" s="2" t="s">
        <v>33</v>
      </c>
      <c r="C19" s="40">
        <f>C18/C15</f>
        <v>0.32532854360727881</v>
      </c>
      <c r="D19" s="41">
        <f>D18/D15</f>
        <v>0.42981842651946789</v>
      </c>
      <c r="E19" s="41">
        <f>E18/E15</f>
        <v>0.39111047140724081</v>
      </c>
      <c r="F19" s="42">
        <f>F18/F15</f>
        <v>0.7382747204804907</v>
      </c>
      <c r="G19" s="40">
        <f t="shared" ref="G19:L19" si="4">G18/G15</f>
        <v>0.35955223318127033</v>
      </c>
      <c r="H19" s="41">
        <f t="shared" si="4"/>
        <v>0.28711875683142613</v>
      </c>
      <c r="I19" s="41">
        <f t="shared" si="4"/>
        <v>0.38243519923408031</v>
      </c>
      <c r="J19" s="41">
        <f>J18/J15</f>
        <v>0.43530863877530479</v>
      </c>
      <c r="K19" s="41">
        <f t="shared" si="4"/>
        <v>0.86798467265109658</v>
      </c>
      <c r="L19" s="42">
        <f t="shared" si="4"/>
        <v>0.3728946418672946</v>
      </c>
    </row>
    <row r="20" spans="1:12" x14ac:dyDescent="0.25">
      <c r="B20" s="2" t="s">
        <v>31</v>
      </c>
      <c r="C20" s="31">
        <f>C18/C13</f>
        <v>2</v>
      </c>
      <c r="D20" s="32">
        <f t="shared" ref="D20:K20" si="5">D18/D13</f>
        <v>4</v>
      </c>
      <c r="E20" s="32">
        <f t="shared" si="5"/>
        <v>2</v>
      </c>
      <c r="F20" s="33">
        <f t="shared" si="5"/>
        <v>2</v>
      </c>
      <c r="G20" s="31">
        <f t="shared" si="5"/>
        <v>2</v>
      </c>
      <c r="H20" s="32">
        <f t="shared" si="5"/>
        <v>2</v>
      </c>
      <c r="I20" s="32">
        <f t="shared" si="5"/>
        <v>2</v>
      </c>
      <c r="J20" s="32">
        <f t="shared" si="5"/>
        <v>2</v>
      </c>
      <c r="K20" s="32">
        <f t="shared" si="5"/>
        <v>2</v>
      </c>
      <c r="L20" s="33">
        <f>L18/L13</f>
        <v>6</v>
      </c>
    </row>
    <row r="21" spans="1:12" x14ac:dyDescent="0.25">
      <c r="A21" t="s">
        <v>47</v>
      </c>
      <c r="B21" s="2" t="s">
        <v>40</v>
      </c>
      <c r="C21" s="43">
        <v>493499</v>
      </c>
      <c r="D21" s="44">
        <v>863889</v>
      </c>
      <c r="E21" s="44">
        <v>670669</v>
      </c>
      <c r="F21" s="45">
        <v>1006199</v>
      </c>
      <c r="G21" s="43">
        <v>925333</v>
      </c>
      <c r="H21" s="44">
        <v>688886</v>
      </c>
      <c r="I21" s="44">
        <v>958848</v>
      </c>
      <c r="J21" s="44">
        <v>1209371</v>
      </c>
      <c r="K21" s="44">
        <v>1703286</v>
      </c>
      <c r="L21" s="45">
        <v>1221612</v>
      </c>
    </row>
    <row r="22" spans="1:12" x14ac:dyDescent="0.25">
      <c r="B22" s="2" t="s">
        <v>41</v>
      </c>
      <c r="C22" s="43">
        <v>2394542</v>
      </c>
      <c r="D22" s="44">
        <v>2683308</v>
      </c>
      <c r="E22" s="44">
        <v>2440922</v>
      </c>
      <c r="F22" s="45">
        <v>2865897</v>
      </c>
      <c r="G22" s="43">
        <v>3490977</v>
      </c>
      <c r="H22" s="44">
        <v>3695767</v>
      </c>
      <c r="I22" s="44">
        <v>3306021</v>
      </c>
      <c r="J22" s="44">
        <v>2630350</v>
      </c>
      <c r="K22" s="44">
        <v>2878874</v>
      </c>
      <c r="L22" s="45">
        <v>2572607</v>
      </c>
    </row>
    <row r="23" spans="1:12" x14ac:dyDescent="0.25">
      <c r="B23" s="2" t="s">
        <v>42</v>
      </c>
      <c r="C23" s="46">
        <f t="shared" ref="C23" si="6">C21/C22</f>
        <v>0.20609327378680348</v>
      </c>
      <c r="D23" s="47">
        <f t="shared" ref="D23:K23" si="7">D21/D22</f>
        <v>0.32194925070100039</v>
      </c>
      <c r="E23" s="47">
        <f t="shared" si="7"/>
        <v>0.27476052081959196</v>
      </c>
      <c r="F23" s="48">
        <f t="shared" si="7"/>
        <v>0.35109391579669474</v>
      </c>
      <c r="G23" s="46">
        <f t="shared" si="7"/>
        <v>0.26506419263146103</v>
      </c>
      <c r="H23" s="47">
        <f t="shared" si="7"/>
        <v>0.18639865554294954</v>
      </c>
      <c r="I23" s="47">
        <f t="shared" si="7"/>
        <v>0.29003082557551813</v>
      </c>
      <c r="J23" s="47">
        <f t="shared" si="7"/>
        <v>0.45977569524968159</v>
      </c>
      <c r="K23" s="47">
        <f t="shared" si="7"/>
        <v>0.59165006874215409</v>
      </c>
      <c r="L23" s="48">
        <f>L21/L22</f>
        <v>0.47485371842648333</v>
      </c>
    </row>
    <row r="24" spans="1:12" x14ac:dyDescent="0.25">
      <c r="A24" t="s">
        <v>43</v>
      </c>
      <c r="B24" s="2" t="s">
        <v>40</v>
      </c>
      <c r="C24" s="43">
        <v>161247</v>
      </c>
      <c r="D24" s="44">
        <v>302487</v>
      </c>
      <c r="E24" s="44">
        <v>236056</v>
      </c>
      <c r="F24" s="45">
        <v>378096</v>
      </c>
      <c r="G24" s="43">
        <v>303804</v>
      </c>
      <c r="H24" s="44">
        <v>220187</v>
      </c>
      <c r="I24" s="44">
        <v>312296</v>
      </c>
      <c r="J24" s="44">
        <v>425168</v>
      </c>
      <c r="K24" s="44">
        <v>799720</v>
      </c>
      <c r="L24" s="45">
        <v>737875</v>
      </c>
    </row>
    <row r="25" spans="1:12" x14ac:dyDescent="0.25">
      <c r="B25" s="2" t="s">
        <v>41</v>
      </c>
      <c r="C25" s="43">
        <v>2394533</v>
      </c>
      <c r="D25" s="44">
        <v>2683299</v>
      </c>
      <c r="E25" s="44">
        <v>2440913</v>
      </c>
      <c r="F25" s="45">
        <v>2865888</v>
      </c>
      <c r="G25" s="43">
        <v>3490968</v>
      </c>
      <c r="H25" s="44">
        <v>3695758</v>
      </c>
      <c r="I25" s="44">
        <v>3306012</v>
      </c>
      <c r="J25" s="44">
        <v>2630341</v>
      </c>
      <c r="K25" s="44">
        <v>2878865</v>
      </c>
      <c r="L25" s="45">
        <v>2572598</v>
      </c>
    </row>
    <row r="26" spans="1:12" x14ac:dyDescent="0.25">
      <c r="B26" s="2" t="s">
        <v>42</v>
      </c>
      <c r="C26" s="46">
        <f t="shared" ref="C26" si="8">C24/C25</f>
        <v>6.7339644097617363E-2</v>
      </c>
      <c r="D26" s="47">
        <f t="shared" ref="D26:K26" si="9">D24/D25</f>
        <v>0.11272951691183129</v>
      </c>
      <c r="E26" s="47">
        <f t="shared" si="9"/>
        <v>9.670807603548344E-2</v>
      </c>
      <c r="F26" s="48">
        <f t="shared" si="9"/>
        <v>0.13192978930090779</v>
      </c>
      <c r="G26" s="46">
        <f t="shared" si="9"/>
        <v>8.7025718940992869E-2</v>
      </c>
      <c r="H26" s="47">
        <f t="shared" si="9"/>
        <v>5.9578305722398493E-2</v>
      </c>
      <c r="I26" s="47">
        <f t="shared" si="9"/>
        <v>9.446305700039806E-2</v>
      </c>
      <c r="J26" s="47">
        <f t="shared" si="9"/>
        <v>0.16163987863170592</v>
      </c>
      <c r="K26" s="47">
        <f t="shared" si="9"/>
        <v>0.27779003183546291</v>
      </c>
      <c r="L26" s="48">
        <f>L24/L25</f>
        <v>0.28682094909503936</v>
      </c>
    </row>
    <row r="27" spans="1:12" x14ac:dyDescent="0.25">
      <c r="A27" t="s">
        <v>44</v>
      </c>
      <c r="B27" s="2" t="s">
        <v>40</v>
      </c>
      <c r="C27" s="43">
        <v>46618</v>
      </c>
      <c r="D27" s="44">
        <v>89584</v>
      </c>
      <c r="E27" s="44">
        <v>53590</v>
      </c>
      <c r="F27" s="45">
        <v>114068</v>
      </c>
      <c r="G27" s="43">
        <v>85192</v>
      </c>
      <c r="H27" s="44">
        <v>65186</v>
      </c>
      <c r="I27" s="44">
        <v>90590</v>
      </c>
      <c r="J27" s="44">
        <v>121152</v>
      </c>
      <c r="K27" s="44">
        <v>213616</v>
      </c>
      <c r="L27" s="45">
        <v>153747</v>
      </c>
    </row>
    <row r="28" spans="1:12" x14ac:dyDescent="0.25">
      <c r="B28" s="2" t="s">
        <v>41</v>
      </c>
      <c r="C28" s="43">
        <v>2394443</v>
      </c>
      <c r="D28" s="44">
        <v>2683209</v>
      </c>
      <c r="E28" s="44">
        <v>2440823</v>
      </c>
      <c r="F28" s="45">
        <v>2865798</v>
      </c>
      <c r="G28" s="43">
        <v>3490878</v>
      </c>
      <c r="H28" s="44">
        <v>3695668</v>
      </c>
      <c r="I28" s="44">
        <v>3305922</v>
      </c>
      <c r="J28" s="44">
        <v>2630251</v>
      </c>
      <c r="K28" s="44">
        <v>2878775</v>
      </c>
      <c r="L28" s="45">
        <v>2572508</v>
      </c>
    </row>
    <row r="29" spans="1:12" x14ac:dyDescent="0.25">
      <c r="B29" s="2" t="s">
        <v>42</v>
      </c>
      <c r="C29" s="46">
        <f t="shared" ref="C29" si="10">C27/C28</f>
        <v>1.946924608353592E-2</v>
      </c>
      <c r="D29" s="47">
        <f t="shared" ref="D29:K29" si="11">D27/D28</f>
        <v>3.3386888609869748E-2</v>
      </c>
      <c r="E29" s="47">
        <f t="shared" si="11"/>
        <v>2.1955709201363638E-2</v>
      </c>
      <c r="F29" s="48">
        <f t="shared" si="11"/>
        <v>3.9803224093254305E-2</v>
      </c>
      <c r="G29" s="46">
        <f t="shared" si="11"/>
        <v>2.440417568302301E-2</v>
      </c>
      <c r="H29" s="47">
        <f t="shared" si="11"/>
        <v>1.7638489171646371E-2</v>
      </c>
      <c r="I29" s="47">
        <f t="shared" si="11"/>
        <v>2.7402340406095484E-2</v>
      </c>
      <c r="J29" s="47">
        <f t="shared" si="11"/>
        <v>4.6061003303487003E-2</v>
      </c>
      <c r="K29" s="47">
        <f t="shared" si="11"/>
        <v>7.4203784595878453E-2</v>
      </c>
      <c r="L29" s="48">
        <f>L27/L28</f>
        <v>5.9765411808243164E-2</v>
      </c>
    </row>
    <row r="30" spans="1:12" x14ac:dyDescent="0.25">
      <c r="A30" t="s">
        <v>45</v>
      </c>
      <c r="B30" s="2" t="s">
        <v>40</v>
      </c>
      <c r="C30" s="43">
        <v>10646</v>
      </c>
      <c r="D30" s="44">
        <v>19821</v>
      </c>
      <c r="E30" s="44">
        <v>13406</v>
      </c>
      <c r="F30" s="45">
        <v>26888</v>
      </c>
      <c r="G30" s="43">
        <v>20411</v>
      </c>
      <c r="H30" s="44">
        <v>13383</v>
      </c>
      <c r="I30" s="44">
        <v>21568</v>
      </c>
      <c r="J30" s="44">
        <v>27229</v>
      </c>
      <c r="K30" s="44">
        <v>41747</v>
      </c>
      <c r="L30" s="45">
        <v>17683</v>
      </c>
    </row>
    <row r="31" spans="1:12" x14ac:dyDescent="0.25">
      <c r="B31" s="2" t="s">
        <v>41</v>
      </c>
      <c r="C31" s="43">
        <v>2393543</v>
      </c>
      <c r="D31" s="44">
        <v>2682309</v>
      </c>
      <c r="E31" s="44">
        <v>2439923</v>
      </c>
      <c r="F31" s="45">
        <v>2864898</v>
      </c>
      <c r="G31" s="43">
        <v>3489978</v>
      </c>
      <c r="H31" s="44">
        <v>3694768</v>
      </c>
      <c r="I31" s="44">
        <v>3305022</v>
      </c>
      <c r="J31" s="44">
        <v>2629351</v>
      </c>
      <c r="K31" s="44">
        <v>2877875</v>
      </c>
      <c r="L31" s="45">
        <v>2571608</v>
      </c>
    </row>
    <row r="32" spans="1:12" x14ac:dyDescent="0.25">
      <c r="B32" s="2" t="s">
        <v>42</v>
      </c>
      <c r="C32" s="46">
        <f t="shared" ref="C32" si="12">C30/C31</f>
        <v>4.4477997679590467E-3</v>
      </c>
      <c r="D32" s="47">
        <f t="shared" ref="D32:K32" si="13">D30/D31</f>
        <v>7.3895289468886693E-3</v>
      </c>
      <c r="E32" s="47">
        <f t="shared" si="13"/>
        <v>5.4944356850605532E-3</v>
      </c>
      <c r="F32" s="48">
        <f t="shared" si="13"/>
        <v>9.3853254112362811E-3</v>
      </c>
      <c r="G32" s="46">
        <f t="shared" si="13"/>
        <v>5.8484609358569022E-3</v>
      </c>
      <c r="H32" s="47">
        <f t="shared" si="13"/>
        <v>3.6221489414220323E-3</v>
      </c>
      <c r="I32" s="47">
        <f t="shared" si="13"/>
        <v>6.5258264544078674E-3</v>
      </c>
      <c r="J32" s="47">
        <f t="shared" si="13"/>
        <v>1.0355787416742764E-2</v>
      </c>
      <c r="K32" s="47">
        <f t="shared" si="13"/>
        <v>1.4506189462711202E-2</v>
      </c>
      <c r="L32" s="48">
        <f>L30/L31</f>
        <v>6.8762424133071605E-3</v>
      </c>
    </row>
    <row r="33" spans="1:12" x14ac:dyDescent="0.25">
      <c r="A33" t="s">
        <v>46</v>
      </c>
      <c r="B33" s="2" t="s">
        <v>40</v>
      </c>
      <c r="C33" s="43">
        <v>2922</v>
      </c>
      <c r="D33" s="44">
        <v>5301</v>
      </c>
      <c r="E33" s="44">
        <v>3534</v>
      </c>
      <c r="F33" s="45">
        <v>6773</v>
      </c>
      <c r="G33" s="43">
        <v>6188</v>
      </c>
      <c r="H33" s="44">
        <v>3575</v>
      </c>
      <c r="I33" s="44">
        <v>6180</v>
      </c>
      <c r="J33" s="44">
        <v>6324</v>
      </c>
      <c r="K33" s="44">
        <v>10741</v>
      </c>
      <c r="L33" s="45">
        <v>4744</v>
      </c>
    </row>
    <row r="34" spans="1:12" x14ac:dyDescent="0.25">
      <c r="B34" s="2" t="s">
        <v>41</v>
      </c>
      <c r="C34" s="43">
        <v>2384543</v>
      </c>
      <c r="D34" s="44">
        <v>2673309</v>
      </c>
      <c r="E34" s="44">
        <v>2430923</v>
      </c>
      <c r="F34" s="45">
        <v>2855898</v>
      </c>
      <c r="G34" s="43">
        <v>3480978</v>
      </c>
      <c r="H34" s="44">
        <v>3685768</v>
      </c>
      <c r="I34" s="44">
        <v>3296022</v>
      </c>
      <c r="J34" s="44">
        <v>2620351</v>
      </c>
      <c r="K34" s="44">
        <v>2868875</v>
      </c>
      <c r="L34" s="45">
        <v>2562608</v>
      </c>
    </row>
    <row r="35" spans="1:12" ht="15.75" thickBot="1" x14ac:dyDescent="0.3">
      <c r="B35" s="2" t="s">
        <v>42</v>
      </c>
      <c r="C35" s="49">
        <f t="shared" ref="C35" si="14">C33/C34</f>
        <v>1.2253920352872647E-3</v>
      </c>
      <c r="D35" s="50">
        <f t="shared" ref="D35:K35" si="15">D33/D34</f>
        <v>1.9829357549015097E-3</v>
      </c>
      <c r="E35" s="50">
        <f t="shared" si="15"/>
        <v>1.4537687948157963E-3</v>
      </c>
      <c r="F35" s="51">
        <f t="shared" si="15"/>
        <v>2.371583298843306E-3</v>
      </c>
      <c r="G35" s="49">
        <f t="shared" si="15"/>
        <v>1.7776613354063139E-3</v>
      </c>
      <c r="H35" s="50">
        <f t="shared" si="15"/>
        <v>9.6994710464684704E-4</v>
      </c>
      <c r="I35" s="50">
        <f t="shared" si="15"/>
        <v>1.8749874849136323E-3</v>
      </c>
      <c r="J35" s="50">
        <f t="shared" si="15"/>
        <v>2.4134171338114625E-3</v>
      </c>
      <c r="K35" s="50">
        <f t="shared" si="15"/>
        <v>3.7439762973290923E-3</v>
      </c>
      <c r="L35" s="51">
        <f>L33/L34</f>
        <v>1.8512390502175909E-3</v>
      </c>
    </row>
    <row r="36" spans="1:12" ht="15.75" thickBot="1" x14ac:dyDescent="0.3"/>
    <row r="37" spans="1:12" ht="15.75" thickBot="1" x14ac:dyDescent="0.3">
      <c r="A37" t="s">
        <v>15</v>
      </c>
      <c r="B37" s="16">
        <v>0.1</v>
      </c>
      <c r="C37" s="58">
        <f>MAX(ROUND(C15*$B$37/C13,0)*C13,C13)*C17*C7</f>
        <v>2000</v>
      </c>
      <c r="D37" s="59">
        <f>MAX(ROUND(D15*$B$37/D13,0)*D13,D13)*D17*D7</f>
        <v>50000</v>
      </c>
      <c r="E37" s="59">
        <f>MAX(ROUND(E15*$B$37/E13,0)*E13,E13)*E17*E7</f>
        <v>2000</v>
      </c>
      <c r="F37" s="59">
        <f>MAX(ROUND(F15*$B$37/F13,0)*F13,F13)*F17*F7</f>
        <v>50000</v>
      </c>
      <c r="G37" s="59">
        <f>MAX(ROUND(G15*$B$37/G13,0)*G13,G13)*G17*G7</f>
        <v>10000</v>
      </c>
      <c r="H37" s="59">
        <f>MAX(ROUND(H15*$B$37/H13,0)*H13,H13)*H17*H7</f>
        <v>10000</v>
      </c>
      <c r="I37" s="59">
        <f>MAX(ROUND(I15*$B$37/I13,0)*I13,I13)*I17*I7</f>
        <v>10000</v>
      </c>
      <c r="J37" s="59">
        <f>MAX(ROUND(J15*$B$37/J13,0)*J13,J13)*J17*J7</f>
        <v>2000</v>
      </c>
      <c r="K37" s="59">
        <f>MAX(ROUND(K15*$B$37/K13,0)*K13,K13)*K17*K7</f>
        <v>10000</v>
      </c>
      <c r="L37" s="60">
        <f>MAX(ROUND(L15*$B$37/L13,0)*L13,L13)*L17*L7</f>
        <v>4000</v>
      </c>
    </row>
    <row r="38" spans="1:12" x14ac:dyDescent="0.25">
      <c r="B38" s="1" t="s">
        <v>37</v>
      </c>
      <c r="C38" s="92">
        <f>(C37+C37)/C17</f>
        <v>2</v>
      </c>
      <c r="D38" s="92">
        <f>(D37+D37)/D17</f>
        <v>50</v>
      </c>
      <c r="E38" s="92">
        <f>(E37+E37)/E17</f>
        <v>2</v>
      </c>
      <c r="F38" s="92">
        <f>(F37+F37)/F17</f>
        <v>50</v>
      </c>
      <c r="G38" s="92">
        <f>(G37+G37)/G17</f>
        <v>10</v>
      </c>
      <c r="H38" s="92">
        <f>(H37+H37)/H17</f>
        <v>10</v>
      </c>
      <c r="I38" s="92">
        <f>(I37+I37)/I17</f>
        <v>10</v>
      </c>
      <c r="J38" s="92">
        <f>(J37+J37)/J17</f>
        <v>2</v>
      </c>
      <c r="K38" s="92">
        <f>(K37+K37)/K17</f>
        <v>10</v>
      </c>
      <c r="L38" s="92">
        <f>(L37+L37)/L17</f>
        <v>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FD5CD-CB83-40E5-9DC1-D6FB662EACE3}">
  <dimension ref="A1:P38"/>
  <sheetViews>
    <sheetView topLeftCell="A10" zoomScale="110" zoomScaleNormal="110" workbookViewId="0">
      <selection activeCell="A37" sqref="A37:L38"/>
    </sheetView>
  </sheetViews>
  <sheetFormatPr defaultRowHeight="15" x14ac:dyDescent="0.25"/>
  <cols>
    <col min="1" max="1" width="11.42578125" bestFit="1" customWidth="1"/>
    <col min="2" max="2" width="21" bestFit="1" customWidth="1"/>
    <col min="3" max="3" width="9.85546875" bestFit="1" customWidth="1"/>
    <col min="4" max="4" width="10.85546875" bestFit="1" customWidth="1"/>
    <col min="5" max="10" width="9.85546875" bestFit="1" customWidth="1"/>
    <col min="11" max="11" width="10" bestFit="1" customWidth="1"/>
    <col min="12" max="12" width="10.42578125" bestFit="1" customWidth="1"/>
    <col min="14" max="14" width="14" bestFit="1" customWidth="1"/>
  </cols>
  <sheetData>
    <row r="1" spans="1:16" x14ac:dyDescent="0.25"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</row>
    <row r="2" spans="1:16" ht="15.75" thickBot="1" x14ac:dyDescent="0.3">
      <c r="C2" s="1" t="s">
        <v>0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12</v>
      </c>
      <c r="L2" s="1" t="s">
        <v>10</v>
      </c>
      <c r="N2" s="1" t="s">
        <v>24</v>
      </c>
      <c r="O2" s="1" t="s">
        <v>25</v>
      </c>
      <c r="P2" s="1" t="s">
        <v>26</v>
      </c>
    </row>
    <row r="3" spans="1:16" x14ac:dyDescent="0.25">
      <c r="B3" s="1" t="s">
        <v>13</v>
      </c>
      <c r="C3" s="13">
        <v>2001</v>
      </c>
      <c r="D3" s="14">
        <v>2001</v>
      </c>
      <c r="E3" s="14">
        <v>2001</v>
      </c>
      <c r="F3" s="15">
        <v>2001</v>
      </c>
      <c r="G3" s="13">
        <v>2001</v>
      </c>
      <c r="H3" s="14">
        <v>2001</v>
      </c>
      <c r="I3" s="14">
        <v>2001</v>
      </c>
      <c r="J3" s="14">
        <v>2001</v>
      </c>
      <c r="K3" s="14">
        <v>2001</v>
      </c>
      <c r="L3" s="15">
        <v>2001</v>
      </c>
    </row>
    <row r="4" spans="1:16" x14ac:dyDescent="0.25">
      <c r="B4" s="1" t="s">
        <v>1</v>
      </c>
      <c r="C4" s="9">
        <v>1.7273676501345649</v>
      </c>
      <c r="D4" s="6">
        <v>1.7235756210532971</v>
      </c>
      <c r="E4" s="6">
        <v>1.7408649239044467</v>
      </c>
      <c r="F4" s="3">
        <v>1.7331558706925552</v>
      </c>
      <c r="G4" s="9">
        <v>1.8003866544458682</v>
      </c>
      <c r="H4" s="6">
        <v>1.6660751604180934</v>
      </c>
      <c r="I4" s="6">
        <v>1.7214495173344277</v>
      </c>
      <c r="J4" s="6">
        <v>1.6739307999837378</v>
      </c>
      <c r="K4" s="6">
        <v>1.6492124376937689</v>
      </c>
      <c r="L4" s="3">
        <v>1.4521052503327578</v>
      </c>
      <c r="N4" s="12">
        <f>AVERAGE(C4:F4,J4)</f>
        <v>1.7197789731537203</v>
      </c>
      <c r="O4" s="12">
        <f>AVERAGE(G4:I4)</f>
        <v>1.7293037773994631</v>
      </c>
      <c r="P4" s="12">
        <f>AVERAGE(K4:L4)</f>
        <v>1.5506588440132634</v>
      </c>
    </row>
    <row r="5" spans="1:16" x14ac:dyDescent="0.25">
      <c r="B5" s="1" t="s">
        <v>11</v>
      </c>
      <c r="C5" s="10">
        <v>3.9361619609481839</v>
      </c>
      <c r="D5" s="7">
        <v>0.46551889454738382</v>
      </c>
      <c r="E5" s="7">
        <v>6.452589812092932E-2</v>
      </c>
      <c r="F5" s="4">
        <v>0.10544635640148749</v>
      </c>
      <c r="G5" s="10">
        <v>0.91622676068838582</v>
      </c>
      <c r="H5" s="7">
        <v>1.2496170753998477</v>
      </c>
      <c r="I5" s="7">
        <v>0.64112713143267985</v>
      </c>
      <c r="J5" s="7">
        <v>1.6444252076416754E-2</v>
      </c>
      <c r="K5" s="7">
        <v>4.6515826070622728</v>
      </c>
      <c r="L5" s="4">
        <v>2.0560413323286584</v>
      </c>
      <c r="M5" s="1" t="s">
        <v>48</v>
      </c>
      <c r="N5" s="19">
        <f>STDEV(C4:F4,J4)</f>
        <v>2.6446248521502094E-2</v>
      </c>
      <c r="O5" s="19">
        <f>STDEV(G4:I4)</f>
        <v>6.7499343758811101E-2</v>
      </c>
      <c r="P5" s="19">
        <f>STDEV(K4:L4)</f>
        <v>0.13937582880357829</v>
      </c>
    </row>
    <row r="6" spans="1:16" ht="15.75" thickBot="1" x14ac:dyDescent="0.3">
      <c r="B6" s="1" t="s">
        <v>2</v>
      </c>
      <c r="C6" s="11">
        <v>0.99865145177593007</v>
      </c>
      <c r="D6" s="8">
        <v>0.99892479014663837</v>
      </c>
      <c r="E6" s="8">
        <v>0.99714783431034737</v>
      </c>
      <c r="F6" s="5">
        <v>0.99845413184483522</v>
      </c>
      <c r="G6" s="11">
        <v>0.99849013895640093</v>
      </c>
      <c r="H6" s="8">
        <v>0.99866817692855991</v>
      </c>
      <c r="I6" s="8">
        <v>0.99867711440167584</v>
      </c>
      <c r="J6" s="8">
        <v>0.998448420525893</v>
      </c>
      <c r="K6" s="8">
        <v>0.99408896863310969</v>
      </c>
      <c r="L6" s="5">
        <v>0.98892534596541903</v>
      </c>
      <c r="N6" s="12">
        <f>AVERAGE(C6:F6,J6)</f>
        <v>0.99832532572072874</v>
      </c>
      <c r="O6" s="12">
        <f>AVERAGE(G6:I6)</f>
        <v>0.99861181009554556</v>
      </c>
      <c r="P6" s="12">
        <f>AVERAGE(K6:L6)</f>
        <v>0.99150715729926442</v>
      </c>
    </row>
    <row r="7" spans="1:16" x14ac:dyDescent="0.25">
      <c r="B7" s="2" t="s">
        <v>14</v>
      </c>
      <c r="C7" s="20">
        <v>1</v>
      </c>
      <c r="D7" s="21">
        <v>100</v>
      </c>
      <c r="E7" s="21">
        <v>10</v>
      </c>
      <c r="F7" s="22">
        <v>100</v>
      </c>
      <c r="G7" s="20">
        <v>10</v>
      </c>
      <c r="H7" s="21">
        <v>10</v>
      </c>
      <c r="I7" s="21">
        <v>10</v>
      </c>
      <c r="J7" s="21">
        <v>10</v>
      </c>
      <c r="K7" s="14">
        <v>1</v>
      </c>
      <c r="L7" s="22">
        <v>1</v>
      </c>
    </row>
    <row r="8" spans="1:16" x14ac:dyDescent="0.25">
      <c r="B8" s="2" t="s">
        <v>15</v>
      </c>
      <c r="C8" s="23">
        <v>4000</v>
      </c>
      <c r="D8" s="18">
        <v>150000</v>
      </c>
      <c r="E8" s="18">
        <v>4000</v>
      </c>
      <c r="F8" s="24">
        <v>50000</v>
      </c>
      <c r="G8" s="23">
        <v>20000</v>
      </c>
      <c r="H8" s="18">
        <v>20000</v>
      </c>
      <c r="I8" s="18">
        <v>20000</v>
      </c>
      <c r="J8" s="18">
        <v>2000</v>
      </c>
      <c r="K8" s="18">
        <v>10000</v>
      </c>
      <c r="L8" s="24">
        <v>10000</v>
      </c>
    </row>
    <row r="9" spans="1:16" x14ac:dyDescent="0.25">
      <c r="B9" s="2" t="s">
        <v>16</v>
      </c>
      <c r="C9" s="23">
        <f>-C8</f>
        <v>-4000</v>
      </c>
      <c r="D9" s="18">
        <f t="shared" ref="D9:L9" si="0">-D8</f>
        <v>-150000</v>
      </c>
      <c r="E9" s="18">
        <f t="shared" si="0"/>
        <v>-4000</v>
      </c>
      <c r="F9" s="24">
        <f t="shared" si="0"/>
        <v>-50000</v>
      </c>
      <c r="G9" s="52">
        <f t="shared" si="0"/>
        <v>-20000</v>
      </c>
      <c r="H9" s="53">
        <f t="shared" si="0"/>
        <v>-20000</v>
      </c>
      <c r="I9" s="53">
        <f t="shared" si="0"/>
        <v>-20000</v>
      </c>
      <c r="J9" s="53">
        <f t="shared" si="0"/>
        <v>-2000</v>
      </c>
      <c r="K9" s="53">
        <f t="shared" si="0"/>
        <v>-10000</v>
      </c>
      <c r="L9" s="54">
        <f t="shared" si="0"/>
        <v>-10000</v>
      </c>
    </row>
    <row r="10" spans="1:16" x14ac:dyDescent="0.25">
      <c r="B10" s="2" t="s">
        <v>17</v>
      </c>
      <c r="C10" s="25">
        <v>0.35416666666666669</v>
      </c>
      <c r="D10" s="26">
        <v>0.35416666666666669</v>
      </c>
      <c r="E10" s="26">
        <v>0.35416666666666669</v>
      </c>
      <c r="F10" s="27">
        <v>0.35416666666666669</v>
      </c>
      <c r="G10" s="25">
        <v>0.33333333333333331</v>
      </c>
      <c r="H10" s="26">
        <v>0.375</v>
      </c>
      <c r="I10" s="26">
        <v>0.375</v>
      </c>
      <c r="J10" s="26">
        <v>0.39583333333333331</v>
      </c>
      <c r="K10" s="26">
        <v>0.32291666666666669</v>
      </c>
      <c r="L10" s="27">
        <v>0.38541666666666669</v>
      </c>
    </row>
    <row r="11" spans="1:16" x14ac:dyDescent="0.25">
      <c r="B11" s="2" t="s">
        <v>18</v>
      </c>
      <c r="C11" s="25">
        <v>0.67708333333333337</v>
      </c>
      <c r="D11" s="26">
        <v>0.67708333333333337</v>
      </c>
      <c r="E11" s="26">
        <v>0.67708333333333337</v>
      </c>
      <c r="F11" s="27">
        <v>0.67708333333333337</v>
      </c>
      <c r="G11" s="25">
        <v>0.6875</v>
      </c>
      <c r="H11" s="26">
        <v>0.72916666666666663</v>
      </c>
      <c r="I11" s="26">
        <v>0.72916666666666663</v>
      </c>
      <c r="J11" s="26">
        <v>0.67708333333333337</v>
      </c>
      <c r="K11" s="26">
        <v>0.60416666666666663</v>
      </c>
      <c r="L11" s="27">
        <v>0.6875</v>
      </c>
    </row>
    <row r="12" spans="1:16" x14ac:dyDescent="0.25">
      <c r="B12" s="2" t="s">
        <v>19</v>
      </c>
      <c r="C12" s="28" t="s">
        <v>20</v>
      </c>
      <c r="D12" s="29" t="s">
        <v>20</v>
      </c>
      <c r="E12" s="29" t="s">
        <v>20</v>
      </c>
      <c r="F12" s="30" t="s">
        <v>20</v>
      </c>
      <c r="G12" s="28" t="s">
        <v>21</v>
      </c>
      <c r="H12" s="29" t="s">
        <v>22</v>
      </c>
      <c r="I12" s="29" t="s">
        <v>23</v>
      </c>
      <c r="J12" s="29" t="s">
        <v>27</v>
      </c>
      <c r="K12" s="29" t="s">
        <v>28</v>
      </c>
      <c r="L12" s="30" t="s">
        <v>29</v>
      </c>
    </row>
    <row r="13" spans="1:16" x14ac:dyDescent="0.25">
      <c r="B13" s="2" t="s">
        <v>30</v>
      </c>
      <c r="C13" s="31">
        <v>1</v>
      </c>
      <c r="D13" s="32">
        <v>0.25</v>
      </c>
      <c r="E13" s="32">
        <v>0.1</v>
      </c>
      <c r="F13" s="33">
        <v>0.25</v>
      </c>
      <c r="G13" s="31">
        <v>0.5</v>
      </c>
      <c r="H13" s="32">
        <v>0.5</v>
      </c>
      <c r="I13" s="32">
        <v>0.5</v>
      </c>
      <c r="J13" s="32">
        <v>0.1</v>
      </c>
      <c r="K13" s="32">
        <v>5</v>
      </c>
      <c r="L13" s="33">
        <v>1</v>
      </c>
    </row>
    <row r="14" spans="1:16" x14ac:dyDescent="0.25">
      <c r="B14" s="2" t="s">
        <v>35</v>
      </c>
      <c r="C14" s="34">
        <f>(C8-C9)/C13/C7</f>
        <v>8000</v>
      </c>
      <c r="D14" s="35">
        <f t="shared" ref="D14:L14" si="1">(D8-D9)/D13/D7</f>
        <v>12000</v>
      </c>
      <c r="E14" s="35">
        <f t="shared" si="1"/>
        <v>8000</v>
      </c>
      <c r="F14" s="36">
        <f t="shared" si="1"/>
        <v>4000</v>
      </c>
      <c r="G14" s="34">
        <f t="shared" si="1"/>
        <v>8000</v>
      </c>
      <c r="H14" s="35">
        <f t="shared" si="1"/>
        <v>8000</v>
      </c>
      <c r="I14" s="35">
        <f t="shared" si="1"/>
        <v>8000</v>
      </c>
      <c r="J14" s="35">
        <f t="shared" si="1"/>
        <v>4000</v>
      </c>
      <c r="K14" s="35">
        <f t="shared" si="1"/>
        <v>4000</v>
      </c>
      <c r="L14" s="36">
        <f t="shared" si="1"/>
        <v>20000</v>
      </c>
    </row>
    <row r="15" spans="1:16" x14ac:dyDescent="0.25">
      <c r="A15" s="16" t="s">
        <v>34</v>
      </c>
      <c r="B15" s="2" t="s">
        <v>32</v>
      </c>
      <c r="C15" s="55">
        <v>6.1476314922256101</v>
      </c>
      <c r="D15" s="56">
        <v>2.3265638192798761</v>
      </c>
      <c r="E15" s="56">
        <v>0.511364472754685</v>
      </c>
      <c r="F15" s="57">
        <v>0.67725466703585002</v>
      </c>
      <c r="G15" s="55">
        <v>2.7812370713209957</v>
      </c>
      <c r="H15" s="56">
        <v>3.4828793877340534</v>
      </c>
      <c r="I15" s="56">
        <v>2.6148220718248312</v>
      </c>
      <c r="J15" s="56">
        <v>0.45944413270244083</v>
      </c>
      <c r="K15" s="56">
        <v>11.520940766680676</v>
      </c>
      <c r="L15" s="57">
        <v>16.090335784806676</v>
      </c>
    </row>
    <row r="16" spans="1:16" x14ac:dyDescent="0.25">
      <c r="B16" s="2" t="s">
        <v>36</v>
      </c>
      <c r="C16" s="34">
        <f>(C8-C9)/C15/C7</f>
        <v>1301.3141744291154</v>
      </c>
      <c r="D16" s="35">
        <f t="shared" ref="D16:L16" si="2">(D8-D9)/D15/D7</f>
        <v>1289.4552795584036</v>
      </c>
      <c r="E16" s="35">
        <f t="shared" si="2"/>
        <v>1564.4418856289633</v>
      </c>
      <c r="F16" s="36">
        <f t="shared" si="2"/>
        <v>1476.5494409609817</v>
      </c>
      <c r="G16" s="34">
        <f t="shared" si="2"/>
        <v>1438.2089327250812</v>
      </c>
      <c r="H16" s="35">
        <f t="shared" si="2"/>
        <v>1148.4750273257046</v>
      </c>
      <c r="I16" s="35">
        <f t="shared" si="2"/>
        <v>1529.7407969363214</v>
      </c>
      <c r="J16" s="35">
        <f t="shared" si="2"/>
        <v>870.61727755060951</v>
      </c>
      <c r="K16" s="35">
        <f t="shared" si="2"/>
        <v>1735.9693453021932</v>
      </c>
      <c r="L16" s="36">
        <f t="shared" si="2"/>
        <v>1242.9821395576487</v>
      </c>
    </row>
    <row r="17" spans="1:12" x14ac:dyDescent="0.25">
      <c r="B17" s="2" t="s">
        <v>38</v>
      </c>
      <c r="C17" s="37">
        <v>2000</v>
      </c>
      <c r="D17" s="38">
        <v>2000</v>
      </c>
      <c r="E17" s="38">
        <v>2000</v>
      </c>
      <c r="F17" s="39">
        <v>2000</v>
      </c>
      <c r="G17" s="37">
        <v>2000</v>
      </c>
      <c r="H17" s="38">
        <v>2000</v>
      </c>
      <c r="I17" s="38">
        <v>2000</v>
      </c>
      <c r="J17" s="38">
        <v>2000</v>
      </c>
      <c r="K17" s="38">
        <v>2000</v>
      </c>
      <c r="L17" s="39">
        <v>2000</v>
      </c>
    </row>
    <row r="18" spans="1:12" x14ac:dyDescent="0.25">
      <c r="A18" t="s">
        <v>39</v>
      </c>
      <c r="B18" s="2" t="s">
        <v>37</v>
      </c>
      <c r="C18" s="62">
        <f>(C8-C9)/C17/C7</f>
        <v>4</v>
      </c>
      <c r="D18" s="61">
        <f>(D8-D9)/D17/D7</f>
        <v>1.5</v>
      </c>
      <c r="E18" s="61">
        <f t="shared" ref="E18:L18" si="3">(E8-E9)/E17/E7</f>
        <v>0.4</v>
      </c>
      <c r="F18" s="63">
        <f t="shared" si="3"/>
        <v>0.5</v>
      </c>
      <c r="G18" s="62">
        <f t="shared" si="3"/>
        <v>2</v>
      </c>
      <c r="H18" s="61">
        <f t="shared" si="3"/>
        <v>2</v>
      </c>
      <c r="I18" s="61">
        <f t="shared" si="3"/>
        <v>2</v>
      </c>
      <c r="J18" s="61">
        <f t="shared" si="3"/>
        <v>0.2</v>
      </c>
      <c r="K18" s="61">
        <f t="shared" si="3"/>
        <v>10</v>
      </c>
      <c r="L18" s="63">
        <f t="shared" si="3"/>
        <v>10</v>
      </c>
    </row>
    <row r="19" spans="1:12" x14ac:dyDescent="0.25">
      <c r="B19" s="2" t="s">
        <v>33</v>
      </c>
      <c r="C19" s="40">
        <f>C18/C15</f>
        <v>0.65065708721455762</v>
      </c>
      <c r="D19" s="41">
        <f>D18/D15</f>
        <v>0.64472763977920189</v>
      </c>
      <c r="E19" s="41">
        <f>E18/E15</f>
        <v>0.78222094281448162</v>
      </c>
      <c r="F19" s="42">
        <f>F18/F15</f>
        <v>0.7382747204804907</v>
      </c>
      <c r="G19" s="40">
        <f t="shared" ref="G19:L19" si="4">G18/G15</f>
        <v>0.71910446636254066</v>
      </c>
      <c r="H19" s="41">
        <f t="shared" si="4"/>
        <v>0.57423751366285225</v>
      </c>
      <c r="I19" s="41">
        <f t="shared" si="4"/>
        <v>0.76487039846816063</v>
      </c>
      <c r="J19" s="41">
        <f>J18/J15</f>
        <v>0.43530863877530479</v>
      </c>
      <c r="K19" s="41">
        <f t="shared" si="4"/>
        <v>0.86798467265109658</v>
      </c>
      <c r="L19" s="42">
        <f t="shared" si="4"/>
        <v>0.62149106977882429</v>
      </c>
    </row>
    <row r="20" spans="1:12" x14ac:dyDescent="0.25">
      <c r="B20" s="2" t="s">
        <v>31</v>
      </c>
      <c r="C20" s="31">
        <f>C18/C13</f>
        <v>4</v>
      </c>
      <c r="D20" s="32">
        <f t="shared" ref="D20:K20" si="5">D18/D13</f>
        <v>6</v>
      </c>
      <c r="E20" s="32">
        <f t="shared" si="5"/>
        <v>4</v>
      </c>
      <c r="F20" s="33">
        <f t="shared" si="5"/>
        <v>2</v>
      </c>
      <c r="G20" s="31">
        <f t="shared" si="5"/>
        <v>4</v>
      </c>
      <c r="H20" s="32">
        <f t="shared" si="5"/>
        <v>4</v>
      </c>
      <c r="I20" s="32">
        <f t="shared" si="5"/>
        <v>4</v>
      </c>
      <c r="J20" s="32">
        <f t="shared" si="5"/>
        <v>2</v>
      </c>
      <c r="K20" s="32">
        <f t="shared" si="5"/>
        <v>2</v>
      </c>
      <c r="L20" s="33">
        <f>L18/L13</f>
        <v>10</v>
      </c>
    </row>
    <row r="21" spans="1:12" x14ac:dyDescent="0.25">
      <c r="A21" t="s">
        <v>47</v>
      </c>
      <c r="B21" s="2" t="s">
        <v>40</v>
      </c>
      <c r="C21" s="43">
        <v>904990</v>
      </c>
      <c r="D21" s="44">
        <v>1189004</v>
      </c>
      <c r="E21" s="44">
        <v>1001723</v>
      </c>
      <c r="F21" s="45">
        <v>1006199</v>
      </c>
      <c r="G21" s="43">
        <v>1635743</v>
      </c>
      <c r="H21" s="44">
        <v>1258943</v>
      </c>
      <c r="I21" s="44">
        <v>1675625</v>
      </c>
      <c r="J21" s="44">
        <v>1209371</v>
      </c>
      <c r="K21" s="44">
        <v>1703286</v>
      </c>
      <c r="L21" s="45">
        <v>1551863</v>
      </c>
    </row>
    <row r="22" spans="1:12" x14ac:dyDescent="0.25">
      <c r="B22" s="2" t="s">
        <v>41</v>
      </c>
      <c r="C22" s="43">
        <v>2394542</v>
      </c>
      <c r="D22" s="44">
        <v>2683308</v>
      </c>
      <c r="E22" s="44">
        <v>2440922</v>
      </c>
      <c r="F22" s="45">
        <v>2865897</v>
      </c>
      <c r="G22" s="43">
        <v>3490977</v>
      </c>
      <c r="H22" s="44">
        <v>3695767</v>
      </c>
      <c r="I22" s="44">
        <v>3306021</v>
      </c>
      <c r="J22" s="44">
        <v>2630350</v>
      </c>
      <c r="K22" s="44">
        <v>2878874</v>
      </c>
      <c r="L22" s="45">
        <v>2572607</v>
      </c>
    </row>
    <row r="23" spans="1:12" x14ac:dyDescent="0.25">
      <c r="B23" s="2" t="s">
        <v>42</v>
      </c>
      <c r="C23" s="46">
        <f t="shared" ref="C23:K23" si="6">C21/C22</f>
        <v>0.37793866217422789</v>
      </c>
      <c r="D23" s="47">
        <f t="shared" si="6"/>
        <v>0.44311126415603425</v>
      </c>
      <c r="E23" s="47">
        <f t="shared" si="6"/>
        <v>0.41038714059687281</v>
      </c>
      <c r="F23" s="48">
        <f t="shared" si="6"/>
        <v>0.35109391579669474</v>
      </c>
      <c r="G23" s="46">
        <f t="shared" si="6"/>
        <v>0.46856309852514066</v>
      </c>
      <c r="H23" s="47">
        <f t="shared" si="6"/>
        <v>0.34064458067838149</v>
      </c>
      <c r="I23" s="47">
        <f t="shared" si="6"/>
        <v>0.50684039817048954</v>
      </c>
      <c r="J23" s="47">
        <f t="shared" si="6"/>
        <v>0.45977569524968159</v>
      </c>
      <c r="K23" s="47">
        <f t="shared" si="6"/>
        <v>0.59165006874215409</v>
      </c>
      <c r="L23" s="48">
        <f>L21/L22</f>
        <v>0.60322583278363151</v>
      </c>
    </row>
    <row r="24" spans="1:12" x14ac:dyDescent="0.25">
      <c r="A24" t="s">
        <v>43</v>
      </c>
      <c r="B24" s="2" t="s">
        <v>40</v>
      </c>
      <c r="C24" s="43">
        <v>316966</v>
      </c>
      <c r="D24" s="44">
        <v>447535</v>
      </c>
      <c r="E24" s="44">
        <v>379961</v>
      </c>
      <c r="F24" s="45">
        <v>378096</v>
      </c>
      <c r="G24" s="43">
        <v>584580</v>
      </c>
      <c r="H24" s="44">
        <v>432423</v>
      </c>
      <c r="I24" s="44">
        <v>609400</v>
      </c>
      <c r="J24" s="44">
        <v>425168</v>
      </c>
      <c r="K24" s="44">
        <v>799720</v>
      </c>
      <c r="L24" s="45">
        <v>882676</v>
      </c>
    </row>
    <row r="25" spans="1:12" x14ac:dyDescent="0.25">
      <c r="B25" s="2" t="s">
        <v>41</v>
      </c>
      <c r="C25" s="43">
        <v>2394533</v>
      </c>
      <c r="D25" s="44">
        <v>2683299</v>
      </c>
      <c r="E25" s="44">
        <v>2440913</v>
      </c>
      <c r="F25" s="45">
        <v>2865888</v>
      </c>
      <c r="G25" s="43">
        <v>3490968</v>
      </c>
      <c r="H25" s="44">
        <v>3695758</v>
      </c>
      <c r="I25" s="44">
        <v>3306012</v>
      </c>
      <c r="J25" s="44">
        <v>2630341</v>
      </c>
      <c r="K25" s="44">
        <v>2878865</v>
      </c>
      <c r="L25" s="45">
        <v>2572598</v>
      </c>
    </row>
    <row r="26" spans="1:12" x14ac:dyDescent="0.25">
      <c r="B26" s="2" t="s">
        <v>42</v>
      </c>
      <c r="C26" s="46">
        <f t="shared" ref="C26:K26" si="7">C24/C25</f>
        <v>0.13237069608144886</v>
      </c>
      <c r="D26" s="47">
        <f t="shared" si="7"/>
        <v>0.16678536383757456</v>
      </c>
      <c r="E26" s="47">
        <f t="shared" si="7"/>
        <v>0.15566347510132478</v>
      </c>
      <c r="F26" s="48">
        <f t="shared" si="7"/>
        <v>0.13192978930090779</v>
      </c>
      <c r="G26" s="46">
        <f t="shared" si="7"/>
        <v>0.16745498669709949</v>
      </c>
      <c r="H26" s="47">
        <f t="shared" si="7"/>
        <v>0.11700522599152867</v>
      </c>
      <c r="I26" s="47">
        <f t="shared" si="7"/>
        <v>0.18433084937380748</v>
      </c>
      <c r="J26" s="47">
        <f t="shared" si="7"/>
        <v>0.16163987863170592</v>
      </c>
      <c r="K26" s="47">
        <f t="shared" si="7"/>
        <v>0.27779003183546291</v>
      </c>
      <c r="L26" s="48">
        <f>L24/L25</f>
        <v>0.34310685151741549</v>
      </c>
    </row>
    <row r="27" spans="1:12" x14ac:dyDescent="0.25">
      <c r="A27" t="s">
        <v>44</v>
      </c>
      <c r="B27" s="2" t="s">
        <v>40</v>
      </c>
      <c r="C27" s="43">
        <v>92448</v>
      </c>
      <c r="D27" s="44">
        <v>134633</v>
      </c>
      <c r="E27" s="44">
        <v>92537</v>
      </c>
      <c r="F27" s="45">
        <v>114068</v>
      </c>
      <c r="G27" s="43">
        <v>168711</v>
      </c>
      <c r="H27" s="44">
        <v>129550</v>
      </c>
      <c r="I27" s="44">
        <v>180226</v>
      </c>
      <c r="J27" s="44">
        <v>121152</v>
      </c>
      <c r="K27" s="44">
        <v>213616</v>
      </c>
      <c r="L27" s="45">
        <v>221021</v>
      </c>
    </row>
    <row r="28" spans="1:12" x14ac:dyDescent="0.25">
      <c r="B28" s="2" t="s">
        <v>41</v>
      </c>
      <c r="C28" s="43">
        <v>2394443</v>
      </c>
      <c r="D28" s="44">
        <v>2683209</v>
      </c>
      <c r="E28" s="44">
        <v>2440823</v>
      </c>
      <c r="F28" s="45">
        <v>2865798</v>
      </c>
      <c r="G28" s="43">
        <v>3490878</v>
      </c>
      <c r="H28" s="44">
        <v>3695668</v>
      </c>
      <c r="I28" s="44">
        <v>3305922</v>
      </c>
      <c r="J28" s="44">
        <v>2630251</v>
      </c>
      <c r="K28" s="44">
        <v>2878775</v>
      </c>
      <c r="L28" s="45">
        <v>2572508</v>
      </c>
    </row>
    <row r="29" spans="1:12" x14ac:dyDescent="0.25">
      <c r="B29" s="2" t="s">
        <v>42</v>
      </c>
      <c r="C29" s="46">
        <f t="shared" ref="C29:K29" si="8">C27/C28</f>
        <v>3.860939684093545E-2</v>
      </c>
      <c r="D29" s="47">
        <f t="shared" si="8"/>
        <v>5.0176113750363835E-2</v>
      </c>
      <c r="E29" s="47">
        <f t="shared" si="8"/>
        <v>3.7912212397211924E-2</v>
      </c>
      <c r="F29" s="48">
        <f t="shared" si="8"/>
        <v>3.9803224093254305E-2</v>
      </c>
      <c r="G29" s="46">
        <f t="shared" si="8"/>
        <v>4.8329102306067413E-2</v>
      </c>
      <c r="H29" s="47">
        <f t="shared" si="8"/>
        <v>3.5054555766372952E-2</v>
      </c>
      <c r="I29" s="47">
        <f t="shared" si="8"/>
        <v>5.4516107760558173E-2</v>
      </c>
      <c r="J29" s="47">
        <f t="shared" si="8"/>
        <v>4.6061003303487003E-2</v>
      </c>
      <c r="K29" s="47">
        <f t="shared" si="8"/>
        <v>7.4203784595878453E-2</v>
      </c>
      <c r="L29" s="48">
        <f>L27/L28</f>
        <v>8.5916545254669768E-2</v>
      </c>
    </row>
    <row r="30" spans="1:12" x14ac:dyDescent="0.25">
      <c r="A30" t="s">
        <v>45</v>
      </c>
      <c r="B30" s="2" t="s">
        <v>40</v>
      </c>
      <c r="C30" s="43">
        <v>21213</v>
      </c>
      <c r="D30" s="44">
        <v>29795</v>
      </c>
      <c r="E30" s="44">
        <v>23084</v>
      </c>
      <c r="F30" s="45">
        <v>26888</v>
      </c>
      <c r="G30" s="43">
        <v>40834</v>
      </c>
      <c r="H30" s="44">
        <v>26745</v>
      </c>
      <c r="I30" s="44">
        <v>43602</v>
      </c>
      <c r="J30" s="44">
        <v>27229</v>
      </c>
      <c r="K30" s="44">
        <v>41747</v>
      </c>
      <c r="L30" s="45">
        <v>29732</v>
      </c>
    </row>
    <row r="31" spans="1:12" x14ac:dyDescent="0.25">
      <c r="B31" s="2" t="s">
        <v>41</v>
      </c>
      <c r="C31" s="43">
        <v>2393543</v>
      </c>
      <c r="D31" s="44">
        <v>2682309</v>
      </c>
      <c r="E31" s="44">
        <v>2439923</v>
      </c>
      <c r="F31" s="45">
        <v>2864898</v>
      </c>
      <c r="G31" s="43">
        <v>3489978</v>
      </c>
      <c r="H31" s="44">
        <v>3694768</v>
      </c>
      <c r="I31" s="44">
        <v>3305022</v>
      </c>
      <c r="J31" s="44">
        <v>2629351</v>
      </c>
      <c r="K31" s="44">
        <v>2877875</v>
      </c>
      <c r="L31" s="45">
        <v>2571608</v>
      </c>
    </row>
    <row r="32" spans="1:12" x14ac:dyDescent="0.25">
      <c r="B32" s="2" t="s">
        <v>42</v>
      </c>
      <c r="C32" s="46">
        <f t="shared" ref="C32:K32" si="9">C30/C31</f>
        <v>8.8625940707979765E-3</v>
      </c>
      <c r="D32" s="47">
        <f t="shared" si="9"/>
        <v>1.1107967053758534E-2</v>
      </c>
      <c r="E32" s="47">
        <f t="shared" si="9"/>
        <v>9.4609543006070277E-3</v>
      </c>
      <c r="F32" s="48">
        <f t="shared" si="9"/>
        <v>9.3853254112362811E-3</v>
      </c>
      <c r="G32" s="46">
        <f t="shared" si="9"/>
        <v>1.1700360288804112E-2</v>
      </c>
      <c r="H32" s="47">
        <f t="shared" si="9"/>
        <v>7.238614170091329E-3</v>
      </c>
      <c r="I32" s="47">
        <f t="shared" si="9"/>
        <v>1.3192650457394837E-2</v>
      </c>
      <c r="J32" s="47">
        <f t="shared" si="9"/>
        <v>1.0355787416742764E-2</v>
      </c>
      <c r="K32" s="47">
        <f t="shared" si="9"/>
        <v>1.4506189462711202E-2</v>
      </c>
      <c r="L32" s="48">
        <f>L30/L31</f>
        <v>1.1561637699058332E-2</v>
      </c>
    </row>
    <row r="33" spans="1:12" x14ac:dyDescent="0.25">
      <c r="A33" t="s">
        <v>46</v>
      </c>
      <c r="B33" s="2" t="s">
        <v>40</v>
      </c>
      <c r="C33" s="43">
        <v>5837</v>
      </c>
      <c r="D33" s="44">
        <v>7965</v>
      </c>
      <c r="E33" s="44">
        <v>6134</v>
      </c>
      <c r="F33" s="45">
        <v>6773</v>
      </c>
      <c r="G33" s="43">
        <v>12337</v>
      </c>
      <c r="H33" s="44">
        <v>7162</v>
      </c>
      <c r="I33" s="44">
        <v>12217</v>
      </c>
      <c r="J33" s="44">
        <v>6324</v>
      </c>
      <c r="K33" s="44">
        <v>10741</v>
      </c>
      <c r="L33" s="45">
        <v>7976</v>
      </c>
    </row>
    <row r="34" spans="1:12" x14ac:dyDescent="0.25">
      <c r="B34" s="2" t="s">
        <v>41</v>
      </c>
      <c r="C34" s="43">
        <v>2384543</v>
      </c>
      <c r="D34" s="44">
        <v>2673309</v>
      </c>
      <c r="E34" s="44">
        <v>2430923</v>
      </c>
      <c r="F34" s="45">
        <v>2855898</v>
      </c>
      <c r="G34" s="43">
        <v>3480978</v>
      </c>
      <c r="H34" s="44">
        <v>3685768</v>
      </c>
      <c r="I34" s="44">
        <v>3296022</v>
      </c>
      <c r="J34" s="44">
        <v>2620351</v>
      </c>
      <c r="K34" s="44">
        <v>2868875</v>
      </c>
      <c r="L34" s="45">
        <v>2562608</v>
      </c>
    </row>
    <row r="35" spans="1:12" ht="15.75" thickBot="1" x14ac:dyDescent="0.3">
      <c r="B35" s="2" t="s">
        <v>42</v>
      </c>
      <c r="C35" s="49">
        <f t="shared" ref="C35:K35" si="10">C33/C34</f>
        <v>2.4478484975947175E-3</v>
      </c>
      <c r="D35" s="50">
        <f t="shared" si="10"/>
        <v>2.9794535536296031E-3</v>
      </c>
      <c r="E35" s="50">
        <f t="shared" si="10"/>
        <v>2.5233213886248144E-3</v>
      </c>
      <c r="F35" s="51">
        <f t="shared" si="10"/>
        <v>2.371583298843306E-3</v>
      </c>
      <c r="G35" s="49">
        <f t="shared" si="10"/>
        <v>3.5441189229004034E-3</v>
      </c>
      <c r="H35" s="50">
        <f t="shared" si="10"/>
        <v>1.9431499757988024E-3</v>
      </c>
      <c r="I35" s="50">
        <f t="shared" si="10"/>
        <v>3.7065893370857353E-3</v>
      </c>
      <c r="J35" s="50">
        <f t="shared" si="10"/>
        <v>2.4134171338114625E-3</v>
      </c>
      <c r="K35" s="50">
        <f t="shared" si="10"/>
        <v>3.7439762973290923E-3</v>
      </c>
      <c r="L35" s="51">
        <f>L33/L34</f>
        <v>3.1124541872966914E-3</v>
      </c>
    </row>
    <row r="36" spans="1:12" ht="15.75" thickBot="1" x14ac:dyDescent="0.3"/>
    <row r="37" spans="1:12" ht="15.75" thickBot="1" x14ac:dyDescent="0.3">
      <c r="A37" t="s">
        <v>15</v>
      </c>
      <c r="B37" s="16">
        <v>0.1</v>
      </c>
      <c r="C37" s="58">
        <f>MAX(ROUND(C15*$B$37/C13,0)*C13,C13)*C17*C7</f>
        <v>2000</v>
      </c>
      <c r="D37" s="59">
        <f>MAX(ROUND(D15*$B$37/D13,0)*D13,D13)*D17*D7</f>
        <v>50000</v>
      </c>
      <c r="E37" s="59">
        <f>MAX(ROUND(E15*$B$37/E13,0)*E13,E13)*E17*E7</f>
        <v>2000</v>
      </c>
      <c r="F37" s="59">
        <f>MAX(ROUND(F15*$B$37/F13,0)*F13,F13)*F17*F7</f>
        <v>50000</v>
      </c>
      <c r="G37" s="59">
        <f>MAX(ROUND(G15*$B$37/G13,0)*G13,G13)*G17*G7</f>
        <v>10000</v>
      </c>
      <c r="H37" s="59">
        <f>MAX(ROUND(H15*$B$37/H13,0)*H13,H13)*H17*H7</f>
        <v>10000</v>
      </c>
      <c r="I37" s="59">
        <f>MAX(ROUND(I15*$B$37/I13,0)*I13,I13)*I17*I7</f>
        <v>10000</v>
      </c>
      <c r="J37" s="59">
        <f>MAX(ROUND(J15*$B$37/J13,0)*J13,J13)*J17*J7</f>
        <v>2000</v>
      </c>
      <c r="K37" s="59">
        <f>MAX(ROUND(K15*$B$37/K13,0)*K13,K13)*K17*K7</f>
        <v>10000</v>
      </c>
      <c r="L37" s="60">
        <f>MAX(ROUND(L15*$B$37/L13,0)*L13,L13)*L17*L7</f>
        <v>4000</v>
      </c>
    </row>
    <row r="38" spans="1:12" x14ac:dyDescent="0.25">
      <c r="B38" s="1" t="s">
        <v>37</v>
      </c>
      <c r="C38" s="92">
        <f>(C37+C37)/C17</f>
        <v>2</v>
      </c>
      <c r="D38" s="92">
        <f>(D37+D37)/D17</f>
        <v>50</v>
      </c>
      <c r="E38" s="92">
        <f>(E37+E37)/E17</f>
        <v>2</v>
      </c>
      <c r="F38" s="92">
        <f>(F37+F37)/F17</f>
        <v>50</v>
      </c>
      <c r="G38" s="92">
        <f>(G37+G37)/G17</f>
        <v>10</v>
      </c>
      <c r="H38" s="92">
        <f>(H37+H37)/H17</f>
        <v>10</v>
      </c>
      <c r="I38" s="92">
        <f>(I37+I37)/I17</f>
        <v>10</v>
      </c>
      <c r="J38" s="92">
        <f>(J37+J37)/J17</f>
        <v>2</v>
      </c>
      <c r="K38" s="92">
        <f>(K37+K37)/K17</f>
        <v>10</v>
      </c>
      <c r="L38" s="92">
        <f>(L37+L37)/L17</f>
        <v>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FE58D-2B19-45EA-BE5B-D2C4E6E12402}">
  <dimension ref="A1:P38"/>
  <sheetViews>
    <sheetView topLeftCell="A13" zoomScale="110" zoomScaleNormal="110" workbookViewId="0">
      <selection activeCell="A37" sqref="A37:L38"/>
    </sheetView>
  </sheetViews>
  <sheetFormatPr defaultRowHeight="15" x14ac:dyDescent="0.25"/>
  <cols>
    <col min="1" max="1" width="11.42578125" bestFit="1" customWidth="1"/>
    <col min="2" max="2" width="21" bestFit="1" customWidth="1"/>
    <col min="3" max="3" width="9.85546875" bestFit="1" customWidth="1"/>
    <col min="4" max="4" width="10.85546875" bestFit="1" customWidth="1"/>
    <col min="5" max="10" width="9.85546875" bestFit="1" customWidth="1"/>
    <col min="11" max="11" width="10" bestFit="1" customWidth="1"/>
    <col min="12" max="12" width="10.42578125" bestFit="1" customWidth="1"/>
    <col min="14" max="14" width="14" bestFit="1" customWidth="1"/>
  </cols>
  <sheetData>
    <row r="1" spans="1:16" x14ac:dyDescent="0.25"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</row>
    <row r="2" spans="1:16" ht="15.75" thickBot="1" x14ac:dyDescent="0.3">
      <c r="C2" s="1" t="s">
        <v>0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12</v>
      </c>
      <c r="L2" s="1" t="s">
        <v>10</v>
      </c>
      <c r="N2" s="1" t="s">
        <v>24</v>
      </c>
      <c r="O2" s="1" t="s">
        <v>25</v>
      </c>
      <c r="P2" s="1" t="s">
        <v>26</v>
      </c>
    </row>
    <row r="3" spans="1:16" x14ac:dyDescent="0.25">
      <c r="B3" s="1" t="s">
        <v>13</v>
      </c>
      <c r="C3" s="13">
        <v>2001</v>
      </c>
      <c r="D3" s="14">
        <v>2001</v>
      </c>
      <c r="E3" s="14">
        <v>2001</v>
      </c>
      <c r="F3" s="15">
        <v>2001</v>
      </c>
      <c r="G3" s="13">
        <v>2001</v>
      </c>
      <c r="H3" s="14">
        <v>2001</v>
      </c>
      <c r="I3" s="14">
        <v>2001</v>
      </c>
      <c r="J3" s="14">
        <v>2001</v>
      </c>
      <c r="K3" s="14">
        <v>2001</v>
      </c>
      <c r="L3" s="15">
        <v>2001</v>
      </c>
    </row>
    <row r="4" spans="1:16" x14ac:dyDescent="0.25">
      <c r="B4" s="1" t="s">
        <v>1</v>
      </c>
      <c r="C4" s="9">
        <v>1.7273676501345649</v>
      </c>
      <c r="D4" s="6">
        <v>1.7337678611286895</v>
      </c>
      <c r="E4" s="6">
        <v>1.7408649239044467</v>
      </c>
      <c r="F4" s="3">
        <v>1.7331558706925552</v>
      </c>
      <c r="G4" s="9">
        <v>1.8003866544458682</v>
      </c>
      <c r="H4" s="6">
        <v>1.6697076972502147</v>
      </c>
      <c r="I4" s="6">
        <v>1.7214495173344277</v>
      </c>
      <c r="J4" s="6">
        <v>1.6942788343523105</v>
      </c>
      <c r="K4" s="6">
        <v>1.6492124376937689</v>
      </c>
      <c r="L4" s="3">
        <v>1.4854197070760824</v>
      </c>
      <c r="N4" s="12">
        <f>AVERAGE(C4:F4,J4)</f>
        <v>1.7258870280425136</v>
      </c>
      <c r="O4" s="12">
        <f>AVERAGE(G4:I4)</f>
        <v>1.7305146230101702</v>
      </c>
      <c r="P4" s="12">
        <f>AVERAGE(K4:L4)</f>
        <v>1.5673160723849255</v>
      </c>
    </row>
    <row r="5" spans="1:16" x14ac:dyDescent="0.25">
      <c r="B5" s="1" t="s">
        <v>11</v>
      </c>
      <c r="C5" s="10">
        <v>3.9361619609481839</v>
      </c>
      <c r="D5" s="7">
        <v>0.48392931757403207</v>
      </c>
      <c r="E5" s="7">
        <v>6.452589812092932E-2</v>
      </c>
      <c r="F5" s="4">
        <v>0.10544635640148749</v>
      </c>
      <c r="G5" s="10">
        <v>0.91622676068838582</v>
      </c>
      <c r="H5" s="7">
        <v>1.2818596539123637</v>
      </c>
      <c r="I5" s="7">
        <v>0.64112713143267985</v>
      </c>
      <c r="J5" s="7">
        <v>2.2197432012270112E-2</v>
      </c>
      <c r="K5" s="7">
        <v>4.6515826070622728</v>
      </c>
      <c r="L5" s="4">
        <v>2.5093459723529477</v>
      </c>
      <c r="M5" s="1" t="s">
        <v>48</v>
      </c>
      <c r="N5" s="19">
        <f>STDEV(C4:F4,J4)</f>
        <v>1.8306768681221469E-2</v>
      </c>
      <c r="O5" s="19">
        <f>STDEV(G4:I4)</f>
        <v>6.5809418544157811E-2</v>
      </c>
      <c r="P5" s="19">
        <f>STDEV(K4:L4)</f>
        <v>0.11581895052882758</v>
      </c>
    </row>
    <row r="6" spans="1:16" ht="15.75" thickBot="1" x14ac:dyDescent="0.3">
      <c r="B6" s="1" t="s">
        <v>2</v>
      </c>
      <c r="C6" s="11">
        <v>0.99865145177593007</v>
      </c>
      <c r="D6" s="8">
        <v>0.99874111215805828</v>
      </c>
      <c r="E6" s="8">
        <v>0.99714783431034737</v>
      </c>
      <c r="F6" s="5">
        <v>0.99845413184483522</v>
      </c>
      <c r="G6" s="11">
        <v>0.99849013895640093</v>
      </c>
      <c r="H6" s="8">
        <v>0.99846964631434665</v>
      </c>
      <c r="I6" s="8">
        <v>0.99867711440167584</v>
      </c>
      <c r="J6" s="8">
        <v>0.99814258115921728</v>
      </c>
      <c r="K6" s="8">
        <v>0.99408896863310969</v>
      </c>
      <c r="L6" s="5">
        <v>0.98994590943506533</v>
      </c>
      <c r="N6" s="12">
        <f>AVERAGE(C6:F6,J6)</f>
        <v>0.99822742224967764</v>
      </c>
      <c r="O6" s="12">
        <f>AVERAGE(G6:I6)</f>
        <v>0.99854563322414114</v>
      </c>
      <c r="P6" s="12">
        <f>AVERAGE(K6:L6)</f>
        <v>0.99201743903408746</v>
      </c>
    </row>
    <row r="7" spans="1:16" x14ac:dyDescent="0.25">
      <c r="B7" s="2" t="s">
        <v>14</v>
      </c>
      <c r="C7" s="20">
        <v>1</v>
      </c>
      <c r="D7" s="21">
        <v>100</v>
      </c>
      <c r="E7" s="21">
        <v>10</v>
      </c>
      <c r="F7" s="22">
        <v>100</v>
      </c>
      <c r="G7" s="20">
        <v>10</v>
      </c>
      <c r="H7" s="21">
        <v>10</v>
      </c>
      <c r="I7" s="21">
        <v>10</v>
      </c>
      <c r="J7" s="21">
        <v>10</v>
      </c>
      <c r="K7" s="14">
        <v>1</v>
      </c>
      <c r="L7" s="22">
        <v>1</v>
      </c>
    </row>
    <row r="8" spans="1:16" x14ac:dyDescent="0.25">
      <c r="B8" s="2" t="s">
        <v>15</v>
      </c>
      <c r="C8" s="23">
        <v>4000</v>
      </c>
      <c r="D8" s="18">
        <v>200000</v>
      </c>
      <c r="E8" s="18">
        <v>4000</v>
      </c>
      <c r="F8" s="24">
        <v>50000</v>
      </c>
      <c r="G8" s="23">
        <v>20000</v>
      </c>
      <c r="H8" s="18">
        <v>30000</v>
      </c>
      <c r="I8" s="18">
        <v>20000</v>
      </c>
      <c r="J8" s="18">
        <v>4000</v>
      </c>
      <c r="K8" s="18">
        <v>10000</v>
      </c>
      <c r="L8" s="24">
        <v>12000</v>
      </c>
    </row>
    <row r="9" spans="1:16" x14ac:dyDescent="0.25">
      <c r="B9" s="2" t="s">
        <v>16</v>
      </c>
      <c r="C9" s="23">
        <f>-C8</f>
        <v>-4000</v>
      </c>
      <c r="D9" s="18">
        <f t="shared" ref="D9:L9" si="0">-D8</f>
        <v>-200000</v>
      </c>
      <c r="E9" s="18">
        <f t="shared" si="0"/>
        <v>-4000</v>
      </c>
      <c r="F9" s="24">
        <f t="shared" si="0"/>
        <v>-50000</v>
      </c>
      <c r="G9" s="52">
        <f t="shared" si="0"/>
        <v>-20000</v>
      </c>
      <c r="H9" s="53">
        <f t="shared" si="0"/>
        <v>-30000</v>
      </c>
      <c r="I9" s="53">
        <f t="shared" si="0"/>
        <v>-20000</v>
      </c>
      <c r="J9" s="53">
        <f t="shared" si="0"/>
        <v>-4000</v>
      </c>
      <c r="K9" s="53">
        <f t="shared" si="0"/>
        <v>-10000</v>
      </c>
      <c r="L9" s="54">
        <f t="shared" si="0"/>
        <v>-12000</v>
      </c>
    </row>
    <row r="10" spans="1:16" x14ac:dyDescent="0.25">
      <c r="B10" s="2" t="s">
        <v>17</v>
      </c>
      <c r="C10" s="25">
        <v>0.35416666666666669</v>
      </c>
      <c r="D10" s="26">
        <v>0.35416666666666669</v>
      </c>
      <c r="E10" s="26">
        <v>0.35416666666666669</v>
      </c>
      <c r="F10" s="27">
        <v>0.35416666666666669</v>
      </c>
      <c r="G10" s="25">
        <v>0.33333333333333331</v>
      </c>
      <c r="H10" s="26">
        <v>0.375</v>
      </c>
      <c r="I10" s="26">
        <v>0.375</v>
      </c>
      <c r="J10" s="26">
        <v>0.39583333333333331</v>
      </c>
      <c r="K10" s="26">
        <v>0.32291666666666669</v>
      </c>
      <c r="L10" s="27">
        <v>0.38541666666666669</v>
      </c>
    </row>
    <row r="11" spans="1:16" x14ac:dyDescent="0.25">
      <c r="B11" s="2" t="s">
        <v>18</v>
      </c>
      <c r="C11" s="25">
        <v>0.67708333333333337</v>
      </c>
      <c r="D11" s="26">
        <v>0.67708333333333337</v>
      </c>
      <c r="E11" s="26">
        <v>0.67708333333333337</v>
      </c>
      <c r="F11" s="27">
        <v>0.67708333333333337</v>
      </c>
      <c r="G11" s="25">
        <v>0.6875</v>
      </c>
      <c r="H11" s="26">
        <v>0.72916666666666663</v>
      </c>
      <c r="I11" s="26">
        <v>0.72916666666666663</v>
      </c>
      <c r="J11" s="26">
        <v>0.67708333333333337</v>
      </c>
      <c r="K11" s="26">
        <v>0.60416666666666663</v>
      </c>
      <c r="L11" s="27">
        <v>0.6875</v>
      </c>
    </row>
    <row r="12" spans="1:16" x14ac:dyDescent="0.25">
      <c r="B12" s="2" t="s">
        <v>19</v>
      </c>
      <c r="C12" s="28" t="s">
        <v>20</v>
      </c>
      <c r="D12" s="29" t="s">
        <v>20</v>
      </c>
      <c r="E12" s="29" t="s">
        <v>20</v>
      </c>
      <c r="F12" s="30" t="s">
        <v>20</v>
      </c>
      <c r="G12" s="28" t="s">
        <v>21</v>
      </c>
      <c r="H12" s="29" t="s">
        <v>22</v>
      </c>
      <c r="I12" s="29" t="s">
        <v>23</v>
      </c>
      <c r="J12" s="29" t="s">
        <v>27</v>
      </c>
      <c r="K12" s="29" t="s">
        <v>28</v>
      </c>
      <c r="L12" s="30" t="s">
        <v>29</v>
      </c>
    </row>
    <row r="13" spans="1:16" x14ac:dyDescent="0.25">
      <c r="B13" s="2" t="s">
        <v>30</v>
      </c>
      <c r="C13" s="31">
        <v>1</v>
      </c>
      <c r="D13" s="32">
        <v>0.25</v>
      </c>
      <c r="E13" s="32">
        <v>0.1</v>
      </c>
      <c r="F13" s="33">
        <v>0.25</v>
      </c>
      <c r="G13" s="31">
        <v>0.5</v>
      </c>
      <c r="H13" s="32">
        <v>0.5</v>
      </c>
      <c r="I13" s="32">
        <v>0.5</v>
      </c>
      <c r="J13" s="32">
        <v>0.1</v>
      </c>
      <c r="K13" s="32">
        <v>5</v>
      </c>
      <c r="L13" s="33">
        <v>1</v>
      </c>
    </row>
    <row r="14" spans="1:16" x14ac:dyDescent="0.25">
      <c r="B14" s="2" t="s">
        <v>35</v>
      </c>
      <c r="C14" s="34">
        <f>(C8-C9)/C13/C7</f>
        <v>8000</v>
      </c>
      <c r="D14" s="35">
        <f t="shared" ref="D14:L14" si="1">(D8-D9)/D13/D7</f>
        <v>16000</v>
      </c>
      <c r="E14" s="35">
        <f t="shared" si="1"/>
        <v>8000</v>
      </c>
      <c r="F14" s="36">
        <f t="shared" si="1"/>
        <v>4000</v>
      </c>
      <c r="G14" s="34">
        <f t="shared" si="1"/>
        <v>8000</v>
      </c>
      <c r="H14" s="35">
        <f t="shared" si="1"/>
        <v>12000</v>
      </c>
      <c r="I14" s="35">
        <f t="shared" si="1"/>
        <v>8000</v>
      </c>
      <c r="J14" s="35">
        <f t="shared" si="1"/>
        <v>8000</v>
      </c>
      <c r="K14" s="35">
        <f t="shared" si="1"/>
        <v>4000</v>
      </c>
      <c r="L14" s="36">
        <f t="shared" si="1"/>
        <v>24000</v>
      </c>
    </row>
    <row r="15" spans="1:16" x14ac:dyDescent="0.25">
      <c r="A15" s="16" t="s">
        <v>34</v>
      </c>
      <c r="B15" s="2" t="s">
        <v>32</v>
      </c>
      <c r="C15" s="55">
        <v>6.1476314922256101</v>
      </c>
      <c r="D15" s="56">
        <v>2.3265638192798761</v>
      </c>
      <c r="E15" s="56">
        <v>0.511364472754685</v>
      </c>
      <c r="F15" s="57">
        <v>0.67725466703585002</v>
      </c>
      <c r="G15" s="55">
        <v>2.7812370713209957</v>
      </c>
      <c r="H15" s="56">
        <v>3.4828793877340534</v>
      </c>
      <c r="I15" s="56">
        <v>2.6148220718248312</v>
      </c>
      <c r="J15" s="56">
        <v>0.45944413270244083</v>
      </c>
      <c r="K15" s="56">
        <v>11.520940766680676</v>
      </c>
      <c r="L15" s="57">
        <v>16.090335784806676</v>
      </c>
    </row>
    <row r="16" spans="1:16" x14ac:dyDescent="0.25">
      <c r="B16" s="2" t="s">
        <v>36</v>
      </c>
      <c r="C16" s="34">
        <f>(C8-C9)/C15/C7</f>
        <v>1301.3141744291154</v>
      </c>
      <c r="D16" s="35">
        <f t="shared" ref="D16:L16" si="2">(D8-D9)/D15/D7</f>
        <v>1719.2737060778716</v>
      </c>
      <c r="E16" s="35">
        <f t="shared" si="2"/>
        <v>1564.4418856289633</v>
      </c>
      <c r="F16" s="36">
        <f t="shared" si="2"/>
        <v>1476.5494409609817</v>
      </c>
      <c r="G16" s="34">
        <f t="shared" si="2"/>
        <v>1438.2089327250812</v>
      </c>
      <c r="H16" s="35">
        <f t="shared" si="2"/>
        <v>1722.7125409885568</v>
      </c>
      <c r="I16" s="35">
        <f t="shared" si="2"/>
        <v>1529.7407969363214</v>
      </c>
      <c r="J16" s="35">
        <f t="shared" si="2"/>
        <v>1741.234555101219</v>
      </c>
      <c r="K16" s="35">
        <f t="shared" si="2"/>
        <v>1735.9693453021932</v>
      </c>
      <c r="L16" s="36">
        <f t="shared" si="2"/>
        <v>1491.5785674691783</v>
      </c>
    </row>
    <row r="17" spans="1:12" x14ac:dyDescent="0.25">
      <c r="B17" s="2" t="s">
        <v>38</v>
      </c>
      <c r="C17" s="37">
        <v>2000</v>
      </c>
      <c r="D17" s="38">
        <v>2000</v>
      </c>
      <c r="E17" s="38">
        <v>2000</v>
      </c>
      <c r="F17" s="39">
        <v>2000</v>
      </c>
      <c r="G17" s="37">
        <v>2000</v>
      </c>
      <c r="H17" s="38">
        <v>2000</v>
      </c>
      <c r="I17" s="38">
        <v>2000</v>
      </c>
      <c r="J17" s="38">
        <v>2000</v>
      </c>
      <c r="K17" s="38">
        <v>2000</v>
      </c>
      <c r="L17" s="39">
        <v>2000</v>
      </c>
    </row>
    <row r="18" spans="1:12" x14ac:dyDescent="0.25">
      <c r="A18" t="s">
        <v>39</v>
      </c>
      <c r="B18" s="2" t="s">
        <v>37</v>
      </c>
      <c r="C18" s="62">
        <f>(C8-C9)/C17/C7</f>
        <v>4</v>
      </c>
      <c r="D18" s="61">
        <f>(D8-D9)/D17/D7</f>
        <v>2</v>
      </c>
      <c r="E18" s="61">
        <f t="shared" ref="E18:L18" si="3">(E8-E9)/E17/E7</f>
        <v>0.4</v>
      </c>
      <c r="F18" s="63">
        <f t="shared" si="3"/>
        <v>0.5</v>
      </c>
      <c r="G18" s="62">
        <f t="shared" si="3"/>
        <v>2</v>
      </c>
      <c r="H18" s="61">
        <f t="shared" si="3"/>
        <v>3</v>
      </c>
      <c r="I18" s="61">
        <f t="shared" si="3"/>
        <v>2</v>
      </c>
      <c r="J18" s="61">
        <f t="shared" si="3"/>
        <v>0.4</v>
      </c>
      <c r="K18" s="61">
        <f t="shared" si="3"/>
        <v>10</v>
      </c>
      <c r="L18" s="63">
        <f t="shared" si="3"/>
        <v>12</v>
      </c>
    </row>
    <row r="19" spans="1:12" x14ac:dyDescent="0.25">
      <c r="B19" s="2" t="s">
        <v>33</v>
      </c>
      <c r="C19" s="40">
        <f>C18/C15</f>
        <v>0.65065708721455762</v>
      </c>
      <c r="D19" s="41">
        <f>D18/D15</f>
        <v>0.85963685303893578</v>
      </c>
      <c r="E19" s="41">
        <f>E18/E15</f>
        <v>0.78222094281448162</v>
      </c>
      <c r="F19" s="42">
        <f>F18/F15</f>
        <v>0.7382747204804907</v>
      </c>
      <c r="G19" s="40">
        <f t="shared" ref="G19:L19" si="4">G18/G15</f>
        <v>0.71910446636254066</v>
      </c>
      <c r="H19" s="41">
        <f t="shared" si="4"/>
        <v>0.86135627049427843</v>
      </c>
      <c r="I19" s="41">
        <f t="shared" si="4"/>
        <v>0.76487039846816063</v>
      </c>
      <c r="J19" s="41">
        <f>J18/J15</f>
        <v>0.87061727755060958</v>
      </c>
      <c r="K19" s="41">
        <f t="shared" si="4"/>
        <v>0.86798467265109658</v>
      </c>
      <c r="L19" s="42">
        <f t="shared" si="4"/>
        <v>0.74578928373458919</v>
      </c>
    </row>
    <row r="20" spans="1:12" x14ac:dyDescent="0.25">
      <c r="B20" s="2" t="s">
        <v>31</v>
      </c>
      <c r="C20" s="31">
        <f>C18/C13</f>
        <v>4</v>
      </c>
      <c r="D20" s="32">
        <f t="shared" ref="D20:K20" si="5">D18/D13</f>
        <v>8</v>
      </c>
      <c r="E20" s="32">
        <f t="shared" si="5"/>
        <v>4</v>
      </c>
      <c r="F20" s="33">
        <f t="shared" si="5"/>
        <v>2</v>
      </c>
      <c r="G20" s="31">
        <f t="shared" si="5"/>
        <v>4</v>
      </c>
      <c r="H20" s="32">
        <f t="shared" si="5"/>
        <v>6</v>
      </c>
      <c r="I20" s="32">
        <f t="shared" si="5"/>
        <v>4</v>
      </c>
      <c r="J20" s="32">
        <f t="shared" si="5"/>
        <v>4</v>
      </c>
      <c r="K20" s="32">
        <f t="shared" si="5"/>
        <v>2</v>
      </c>
      <c r="L20" s="33">
        <f>L18/L13</f>
        <v>12</v>
      </c>
    </row>
    <row r="21" spans="1:12" x14ac:dyDescent="0.25">
      <c r="A21" t="s">
        <v>47</v>
      </c>
      <c r="B21" s="2" t="s">
        <v>40</v>
      </c>
      <c r="C21" s="43">
        <v>904990</v>
      </c>
      <c r="D21" s="44">
        <v>1416817</v>
      </c>
      <c r="E21" s="44">
        <v>1001723</v>
      </c>
      <c r="F21" s="45">
        <v>1006199</v>
      </c>
      <c r="G21" s="43">
        <v>1635743</v>
      </c>
      <c r="H21" s="44">
        <v>1719090</v>
      </c>
      <c r="I21" s="44">
        <v>1675625</v>
      </c>
      <c r="J21" s="44">
        <v>1637441</v>
      </c>
      <c r="K21" s="44">
        <v>1703286</v>
      </c>
      <c r="L21" s="45">
        <v>1687225</v>
      </c>
    </row>
    <row r="22" spans="1:12" x14ac:dyDescent="0.25">
      <c r="B22" s="2" t="s">
        <v>41</v>
      </c>
      <c r="C22" s="43">
        <v>2394542</v>
      </c>
      <c r="D22" s="44">
        <v>2683308</v>
      </c>
      <c r="E22" s="44">
        <v>2440922</v>
      </c>
      <c r="F22" s="45">
        <v>2865897</v>
      </c>
      <c r="G22" s="43">
        <v>3490977</v>
      </c>
      <c r="H22" s="44">
        <v>3695767</v>
      </c>
      <c r="I22" s="44">
        <v>3306021</v>
      </c>
      <c r="J22" s="44">
        <v>2630350</v>
      </c>
      <c r="K22" s="44">
        <v>2878874</v>
      </c>
      <c r="L22" s="45">
        <v>2572607</v>
      </c>
    </row>
    <row r="23" spans="1:12" x14ac:dyDescent="0.25">
      <c r="B23" s="2" t="s">
        <v>42</v>
      </c>
      <c r="C23" s="46">
        <f t="shared" ref="C23" si="6">C21/C22</f>
        <v>0.37793866217422789</v>
      </c>
      <c r="D23" s="47">
        <f t="shared" ref="D23:K23" si="7">D21/D22</f>
        <v>0.52801132035532261</v>
      </c>
      <c r="E23" s="47">
        <f t="shared" si="7"/>
        <v>0.41038714059687281</v>
      </c>
      <c r="F23" s="48">
        <f t="shared" si="7"/>
        <v>0.35109391579669474</v>
      </c>
      <c r="G23" s="46">
        <f t="shared" si="7"/>
        <v>0.46856309852514066</v>
      </c>
      <c r="H23" s="47">
        <f t="shared" si="7"/>
        <v>0.46515107689418733</v>
      </c>
      <c r="I23" s="47">
        <f t="shared" si="7"/>
        <v>0.50684039817048954</v>
      </c>
      <c r="J23" s="47">
        <f t="shared" si="7"/>
        <v>0.62251829604425268</v>
      </c>
      <c r="K23" s="47">
        <f t="shared" si="7"/>
        <v>0.59165006874215409</v>
      </c>
      <c r="L23" s="48">
        <f>L21/L22</f>
        <v>0.65584249751322299</v>
      </c>
    </row>
    <row r="24" spans="1:12" x14ac:dyDescent="0.25">
      <c r="A24" t="s">
        <v>43</v>
      </c>
      <c r="B24" s="2" t="s">
        <v>40</v>
      </c>
      <c r="C24" s="43">
        <v>316966</v>
      </c>
      <c r="D24" s="44">
        <v>582482</v>
      </c>
      <c r="E24" s="44">
        <v>379961</v>
      </c>
      <c r="F24" s="45">
        <v>378096</v>
      </c>
      <c r="G24" s="43">
        <v>584580</v>
      </c>
      <c r="H24" s="44">
        <v>637282</v>
      </c>
      <c r="I24" s="44">
        <v>609400</v>
      </c>
      <c r="J24" s="44">
        <v>691840</v>
      </c>
      <c r="K24" s="44">
        <v>799720</v>
      </c>
      <c r="L24" s="45">
        <v>953192</v>
      </c>
    </row>
    <row r="25" spans="1:12" x14ac:dyDescent="0.25">
      <c r="B25" s="2" t="s">
        <v>41</v>
      </c>
      <c r="C25" s="43">
        <v>2394533</v>
      </c>
      <c r="D25" s="44">
        <v>2683299</v>
      </c>
      <c r="E25" s="44">
        <v>2440913</v>
      </c>
      <c r="F25" s="45">
        <v>2865888</v>
      </c>
      <c r="G25" s="43">
        <v>3490968</v>
      </c>
      <c r="H25" s="44">
        <v>3695758</v>
      </c>
      <c r="I25" s="44">
        <v>3306012</v>
      </c>
      <c r="J25" s="44">
        <v>2630341</v>
      </c>
      <c r="K25" s="44">
        <v>2878865</v>
      </c>
      <c r="L25" s="45">
        <v>2572598</v>
      </c>
    </row>
    <row r="26" spans="1:12" x14ac:dyDescent="0.25">
      <c r="B26" s="2" t="s">
        <v>42</v>
      </c>
      <c r="C26" s="46">
        <f t="shared" ref="C26" si="8">C24/C25</f>
        <v>0.13237069608144886</v>
      </c>
      <c r="D26" s="47">
        <f t="shared" ref="D26:K26" si="9">D24/D25</f>
        <v>0.21707681477166726</v>
      </c>
      <c r="E26" s="47">
        <f t="shared" si="9"/>
        <v>0.15566347510132478</v>
      </c>
      <c r="F26" s="48">
        <f t="shared" si="9"/>
        <v>0.13192978930090779</v>
      </c>
      <c r="G26" s="46">
        <f t="shared" si="9"/>
        <v>0.16745498669709949</v>
      </c>
      <c r="H26" s="47">
        <f t="shared" si="9"/>
        <v>0.17243607400701019</v>
      </c>
      <c r="I26" s="47">
        <f t="shared" si="9"/>
        <v>0.18433084937380748</v>
      </c>
      <c r="J26" s="47">
        <f t="shared" si="9"/>
        <v>0.26302293124731735</v>
      </c>
      <c r="K26" s="47">
        <f t="shared" si="9"/>
        <v>0.27779003183546291</v>
      </c>
      <c r="L26" s="48">
        <f>L24/L25</f>
        <v>0.37051727475493645</v>
      </c>
    </row>
    <row r="27" spans="1:12" x14ac:dyDescent="0.25">
      <c r="A27" t="s">
        <v>44</v>
      </c>
      <c r="B27" s="2" t="s">
        <v>40</v>
      </c>
      <c r="C27" s="43">
        <v>92448</v>
      </c>
      <c r="D27" s="44">
        <v>178755</v>
      </c>
      <c r="E27" s="44">
        <v>92537</v>
      </c>
      <c r="F27" s="45">
        <v>114068</v>
      </c>
      <c r="G27" s="43">
        <v>168711</v>
      </c>
      <c r="H27" s="44">
        <v>193708</v>
      </c>
      <c r="I27" s="44">
        <v>180226</v>
      </c>
      <c r="J27" s="44">
        <v>205391</v>
      </c>
      <c r="K27" s="44">
        <v>213616</v>
      </c>
      <c r="L27" s="45">
        <v>254613</v>
      </c>
    </row>
    <row r="28" spans="1:12" x14ac:dyDescent="0.25">
      <c r="B28" s="2" t="s">
        <v>41</v>
      </c>
      <c r="C28" s="43">
        <v>2394443</v>
      </c>
      <c r="D28" s="44">
        <v>2683209</v>
      </c>
      <c r="E28" s="44">
        <v>2440823</v>
      </c>
      <c r="F28" s="45">
        <v>2865798</v>
      </c>
      <c r="G28" s="43">
        <v>3490878</v>
      </c>
      <c r="H28" s="44">
        <v>3695668</v>
      </c>
      <c r="I28" s="44">
        <v>3305922</v>
      </c>
      <c r="J28" s="44">
        <v>2630251</v>
      </c>
      <c r="K28" s="44">
        <v>2878775</v>
      </c>
      <c r="L28" s="45">
        <v>2572508</v>
      </c>
    </row>
    <row r="29" spans="1:12" x14ac:dyDescent="0.25">
      <c r="B29" s="2" t="s">
        <v>42</v>
      </c>
      <c r="C29" s="46">
        <f t="shared" ref="C29" si="10">C27/C28</f>
        <v>3.860939684093545E-2</v>
      </c>
      <c r="D29" s="47">
        <f t="shared" ref="D29:K29" si="11">D27/D28</f>
        <v>6.661985704430777E-2</v>
      </c>
      <c r="E29" s="47">
        <f t="shared" si="11"/>
        <v>3.7912212397211924E-2</v>
      </c>
      <c r="F29" s="48">
        <f t="shared" si="11"/>
        <v>3.9803224093254305E-2</v>
      </c>
      <c r="G29" s="46">
        <f t="shared" si="11"/>
        <v>4.8329102306067413E-2</v>
      </c>
      <c r="H29" s="47">
        <f t="shared" si="11"/>
        <v>5.2414881423331318E-2</v>
      </c>
      <c r="I29" s="47">
        <f t="shared" si="11"/>
        <v>5.4516107760558173E-2</v>
      </c>
      <c r="J29" s="47">
        <f t="shared" si="11"/>
        <v>7.8087984758869022E-2</v>
      </c>
      <c r="K29" s="47">
        <f t="shared" si="11"/>
        <v>7.4203784595878453E-2</v>
      </c>
      <c r="L29" s="48">
        <f>L27/L28</f>
        <v>9.8974619320911728E-2</v>
      </c>
    </row>
    <row r="30" spans="1:12" x14ac:dyDescent="0.25">
      <c r="A30" t="s">
        <v>45</v>
      </c>
      <c r="B30" s="2" t="s">
        <v>40</v>
      </c>
      <c r="C30" s="43">
        <v>21213</v>
      </c>
      <c r="D30" s="44">
        <v>40004</v>
      </c>
      <c r="E30" s="44">
        <v>23084</v>
      </c>
      <c r="F30" s="45">
        <v>26888</v>
      </c>
      <c r="G30" s="43">
        <v>40834</v>
      </c>
      <c r="H30" s="44">
        <v>39918</v>
      </c>
      <c r="I30" s="44">
        <v>43602</v>
      </c>
      <c r="J30" s="44">
        <v>46958</v>
      </c>
      <c r="K30" s="44">
        <v>41747</v>
      </c>
      <c r="L30" s="45">
        <v>35627</v>
      </c>
    </row>
    <row r="31" spans="1:12" x14ac:dyDescent="0.25">
      <c r="B31" s="2" t="s">
        <v>41</v>
      </c>
      <c r="C31" s="43">
        <v>2393543</v>
      </c>
      <c r="D31" s="44">
        <v>2682309</v>
      </c>
      <c r="E31" s="44">
        <v>2439923</v>
      </c>
      <c r="F31" s="45">
        <v>2864898</v>
      </c>
      <c r="G31" s="43">
        <v>3489978</v>
      </c>
      <c r="H31" s="44">
        <v>3694768</v>
      </c>
      <c r="I31" s="44">
        <v>3305022</v>
      </c>
      <c r="J31" s="44">
        <v>2629351</v>
      </c>
      <c r="K31" s="44">
        <v>2877875</v>
      </c>
      <c r="L31" s="45">
        <v>2571608</v>
      </c>
    </row>
    <row r="32" spans="1:12" x14ac:dyDescent="0.25">
      <c r="B32" s="2" t="s">
        <v>42</v>
      </c>
      <c r="C32" s="46">
        <f t="shared" ref="C32" si="12">C30/C31</f>
        <v>8.8625940707979765E-3</v>
      </c>
      <c r="D32" s="47">
        <f t="shared" ref="D32:K32" si="13">D30/D31</f>
        <v>1.49140162449591E-2</v>
      </c>
      <c r="E32" s="47">
        <f t="shared" si="13"/>
        <v>9.4609543006070277E-3</v>
      </c>
      <c r="F32" s="48">
        <f t="shared" si="13"/>
        <v>9.3853254112362811E-3</v>
      </c>
      <c r="G32" s="46">
        <f t="shared" si="13"/>
        <v>1.1700360288804112E-2</v>
      </c>
      <c r="H32" s="47">
        <f t="shared" si="13"/>
        <v>1.0803925983986004E-2</v>
      </c>
      <c r="I32" s="47">
        <f t="shared" si="13"/>
        <v>1.3192650457394837E-2</v>
      </c>
      <c r="J32" s="47">
        <f t="shared" si="13"/>
        <v>1.785915992197314E-2</v>
      </c>
      <c r="K32" s="47">
        <f t="shared" si="13"/>
        <v>1.4506189462711202E-2</v>
      </c>
      <c r="L32" s="48">
        <f>L30/L31</f>
        <v>1.3853977744664039E-2</v>
      </c>
    </row>
    <row r="33" spans="1:12" x14ac:dyDescent="0.25">
      <c r="A33" t="s">
        <v>46</v>
      </c>
      <c r="B33" s="2" t="s">
        <v>40</v>
      </c>
      <c r="C33" s="43">
        <v>5837</v>
      </c>
      <c r="D33" s="44">
        <v>10641</v>
      </c>
      <c r="E33" s="44">
        <v>6134</v>
      </c>
      <c r="F33" s="45">
        <v>6773</v>
      </c>
      <c r="G33" s="43">
        <v>12337</v>
      </c>
      <c r="H33" s="44">
        <v>10650</v>
      </c>
      <c r="I33" s="44">
        <v>12217</v>
      </c>
      <c r="J33" s="44">
        <v>11105</v>
      </c>
      <c r="K33" s="44">
        <v>10741</v>
      </c>
      <c r="L33" s="45">
        <v>9516</v>
      </c>
    </row>
    <row r="34" spans="1:12" x14ac:dyDescent="0.25">
      <c r="B34" s="2" t="s">
        <v>41</v>
      </c>
      <c r="C34" s="43">
        <v>2384543</v>
      </c>
      <c r="D34" s="44">
        <v>2673309</v>
      </c>
      <c r="E34" s="44">
        <v>2430923</v>
      </c>
      <c r="F34" s="45">
        <v>2855898</v>
      </c>
      <c r="G34" s="43">
        <v>3480978</v>
      </c>
      <c r="H34" s="44">
        <v>3685768</v>
      </c>
      <c r="I34" s="44">
        <v>3296022</v>
      </c>
      <c r="J34" s="44">
        <v>2620351</v>
      </c>
      <c r="K34" s="44">
        <v>2868875</v>
      </c>
      <c r="L34" s="45">
        <v>2562608</v>
      </c>
    </row>
    <row r="35" spans="1:12" ht="15.75" thickBot="1" x14ac:dyDescent="0.3">
      <c r="B35" s="2" t="s">
        <v>42</v>
      </c>
      <c r="C35" s="49">
        <f t="shared" ref="C35" si="14">C33/C34</f>
        <v>2.4478484975947175E-3</v>
      </c>
      <c r="D35" s="50">
        <f t="shared" ref="D35:K35" si="15">D33/D34</f>
        <v>3.9804601712708854E-3</v>
      </c>
      <c r="E35" s="50">
        <f t="shared" si="15"/>
        <v>2.5233213886248144E-3</v>
      </c>
      <c r="F35" s="51">
        <f t="shared" si="15"/>
        <v>2.371583298843306E-3</v>
      </c>
      <c r="G35" s="49">
        <f t="shared" si="15"/>
        <v>3.5441189229004034E-3</v>
      </c>
      <c r="H35" s="50">
        <f t="shared" si="15"/>
        <v>2.8894927732836142E-3</v>
      </c>
      <c r="I35" s="50">
        <f t="shared" si="15"/>
        <v>3.7065893370857353E-3</v>
      </c>
      <c r="J35" s="50">
        <f t="shared" si="15"/>
        <v>4.2379818581556438E-3</v>
      </c>
      <c r="K35" s="50">
        <f t="shared" si="15"/>
        <v>3.7439762973290923E-3</v>
      </c>
      <c r="L35" s="51">
        <f>L33/L34</f>
        <v>3.7134044691970055E-3</v>
      </c>
    </row>
    <row r="36" spans="1:12" ht="15.75" thickBot="1" x14ac:dyDescent="0.3"/>
    <row r="37" spans="1:12" ht="15.75" thickBot="1" x14ac:dyDescent="0.3">
      <c r="A37" t="s">
        <v>15</v>
      </c>
      <c r="B37" s="16">
        <v>0.1</v>
      </c>
      <c r="C37" s="58">
        <f>MAX(ROUND(C15*$B$37/C13,0)*C13,C13)*C17*C7</f>
        <v>2000</v>
      </c>
      <c r="D37" s="59">
        <f>MAX(ROUND(D15*$B$37/D13,0)*D13,D13)*D17*D7</f>
        <v>50000</v>
      </c>
      <c r="E37" s="59">
        <f>MAX(ROUND(E15*$B$37/E13,0)*E13,E13)*E17*E7</f>
        <v>2000</v>
      </c>
      <c r="F37" s="59">
        <f>MAX(ROUND(F15*$B$37/F13,0)*F13,F13)*F17*F7</f>
        <v>50000</v>
      </c>
      <c r="G37" s="59">
        <f>MAX(ROUND(G15*$B$37/G13,0)*G13,G13)*G17*G7</f>
        <v>10000</v>
      </c>
      <c r="H37" s="59">
        <f>MAX(ROUND(H15*$B$37/H13,0)*H13,H13)*H17*H7</f>
        <v>10000</v>
      </c>
      <c r="I37" s="59">
        <f>MAX(ROUND(I15*$B$37/I13,0)*I13,I13)*I17*I7</f>
        <v>10000</v>
      </c>
      <c r="J37" s="59">
        <f>MAX(ROUND(J15*$B$37/J13,0)*J13,J13)*J17*J7</f>
        <v>2000</v>
      </c>
      <c r="K37" s="59">
        <f>MAX(ROUND(K15*$B$37/K13,0)*K13,K13)*K17*K7</f>
        <v>10000</v>
      </c>
      <c r="L37" s="60">
        <f>MAX(ROUND(L15*$B$37/L13,0)*L13,L13)*L17*L7</f>
        <v>4000</v>
      </c>
    </row>
    <row r="38" spans="1:12" x14ac:dyDescent="0.25">
      <c r="B38" s="1" t="s">
        <v>37</v>
      </c>
      <c r="C38" s="92">
        <f>(C37+C37)/C17</f>
        <v>2</v>
      </c>
      <c r="D38" s="92">
        <f>(D37+D37)/D17</f>
        <v>50</v>
      </c>
      <c r="E38" s="92">
        <f>(E37+E37)/E17</f>
        <v>2</v>
      </c>
      <c r="F38" s="92">
        <f>(F37+F37)/F17</f>
        <v>50</v>
      </c>
      <c r="G38" s="92">
        <f>(G37+G37)/G17</f>
        <v>10</v>
      </c>
      <c r="H38" s="92">
        <f>(H37+H37)/H17</f>
        <v>10</v>
      </c>
      <c r="I38" s="92">
        <f>(I37+I37)/I17</f>
        <v>10</v>
      </c>
      <c r="J38" s="92">
        <f>(J37+J37)/J17</f>
        <v>2</v>
      </c>
      <c r="K38" s="92">
        <f>(K37+K37)/K17</f>
        <v>10</v>
      </c>
      <c r="L38" s="92">
        <f>(L37+L37)/L17</f>
        <v>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59048-1797-4510-951B-B6E36EBC611F}">
  <dimension ref="A1:P38"/>
  <sheetViews>
    <sheetView topLeftCell="A10" zoomScale="110" zoomScaleNormal="110" workbookViewId="0">
      <selection activeCell="A37" sqref="A37:L38"/>
    </sheetView>
  </sheetViews>
  <sheetFormatPr defaultRowHeight="15" x14ac:dyDescent="0.25"/>
  <cols>
    <col min="1" max="1" width="11.42578125" bestFit="1" customWidth="1"/>
    <col min="2" max="2" width="21" bestFit="1" customWidth="1"/>
    <col min="3" max="3" width="9.85546875" bestFit="1" customWidth="1"/>
    <col min="4" max="4" width="10.85546875" bestFit="1" customWidth="1"/>
    <col min="5" max="10" width="9.85546875" bestFit="1" customWidth="1"/>
    <col min="11" max="11" width="10" bestFit="1" customWidth="1"/>
    <col min="12" max="12" width="10.42578125" bestFit="1" customWidth="1"/>
    <col min="14" max="14" width="14" bestFit="1" customWidth="1"/>
  </cols>
  <sheetData>
    <row r="1" spans="1:16" x14ac:dyDescent="0.25"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</row>
    <row r="2" spans="1:16" ht="15.75" thickBot="1" x14ac:dyDescent="0.3">
      <c r="C2" s="1" t="s">
        <v>0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12</v>
      </c>
      <c r="L2" s="1" t="s">
        <v>10</v>
      </c>
      <c r="N2" s="1" t="s">
        <v>24</v>
      </c>
      <c r="O2" s="1" t="s">
        <v>25</v>
      </c>
      <c r="P2" s="1" t="s">
        <v>26</v>
      </c>
    </row>
    <row r="3" spans="1:16" x14ac:dyDescent="0.25">
      <c r="B3" s="1" t="s">
        <v>13</v>
      </c>
      <c r="C3" s="13">
        <v>2001</v>
      </c>
      <c r="D3" s="14">
        <v>2001</v>
      </c>
      <c r="E3" s="14">
        <v>2001</v>
      </c>
      <c r="F3" s="15">
        <v>2001</v>
      </c>
      <c r="G3" s="13">
        <v>2001</v>
      </c>
      <c r="H3" s="14">
        <v>2001</v>
      </c>
      <c r="I3" s="14">
        <v>2001</v>
      </c>
      <c r="J3" s="14">
        <v>2001</v>
      </c>
      <c r="K3" s="14">
        <v>2001</v>
      </c>
      <c r="L3" s="15">
        <v>2001</v>
      </c>
    </row>
    <row r="4" spans="1:16" x14ac:dyDescent="0.25">
      <c r="B4" s="1" t="s">
        <v>1</v>
      </c>
      <c r="C4" s="9">
        <v>1.7316473534353776</v>
      </c>
      <c r="D4" s="6">
        <v>1.7390896588317388</v>
      </c>
      <c r="E4" s="6">
        <v>1.7585877647531984</v>
      </c>
      <c r="F4" s="3">
        <v>1.7331558706925552</v>
      </c>
      <c r="G4" s="9">
        <v>1.8115117920893564</v>
      </c>
      <c r="H4" s="6">
        <v>1.6697076972502147</v>
      </c>
      <c r="I4" s="6">
        <v>1.7316990530489953</v>
      </c>
      <c r="J4" s="6">
        <v>1.6942788343523105</v>
      </c>
      <c r="K4" s="6">
        <v>1.6492124376937689</v>
      </c>
      <c r="L4" s="3">
        <v>1.528216727776561</v>
      </c>
      <c r="N4" s="12">
        <f>AVERAGE(C4:F4,J4)</f>
        <v>1.7313518964130359</v>
      </c>
      <c r="O4" s="12">
        <f>AVERAGE(G4:I4)</f>
        <v>1.737639514129522</v>
      </c>
      <c r="P4" s="12">
        <f>AVERAGE(K4:L4)</f>
        <v>1.588714582735165</v>
      </c>
    </row>
    <row r="5" spans="1:16" x14ac:dyDescent="0.25">
      <c r="B5" s="1" t="s">
        <v>11</v>
      </c>
      <c r="C5" s="10">
        <v>4.0400785539676196</v>
      </c>
      <c r="D5" s="7">
        <v>0.49662805855226755</v>
      </c>
      <c r="E5" s="7">
        <v>6.4696881346206145E-2</v>
      </c>
      <c r="F5" s="4">
        <v>0.10544635640148749</v>
      </c>
      <c r="G5" s="10">
        <v>0.96479254979924312</v>
      </c>
      <c r="H5" s="7">
        <v>1.2818596539123637</v>
      </c>
      <c r="I5" s="7">
        <v>0.67230711803319387</v>
      </c>
      <c r="J5" s="7">
        <v>2.2197432012270112E-2</v>
      </c>
      <c r="K5" s="7">
        <v>4.6515826070622728</v>
      </c>
      <c r="L5" s="4">
        <v>3.3332374442724477</v>
      </c>
      <c r="M5" s="1" t="s">
        <v>48</v>
      </c>
      <c r="N5" s="19">
        <f>STDEV(C4:F4,J4)</f>
        <v>2.3342124154104815E-2</v>
      </c>
      <c r="O5" s="19">
        <f>STDEV(G4:I4)</f>
        <v>7.1088445873250125E-2</v>
      </c>
      <c r="P5" s="19">
        <f>STDEV(K4:L4)</f>
        <v>8.5556886976938085E-2</v>
      </c>
    </row>
    <row r="6" spans="1:16" ht="15.75" thickBot="1" x14ac:dyDescent="0.3">
      <c r="B6" s="1" t="s">
        <v>2</v>
      </c>
      <c r="C6" s="11">
        <v>0.99868289039342673</v>
      </c>
      <c r="D6" s="8">
        <v>0.99847972663024409</v>
      </c>
      <c r="E6" s="8">
        <v>0.99766696007807953</v>
      </c>
      <c r="F6" s="5">
        <v>0.99845413184483522</v>
      </c>
      <c r="G6" s="11">
        <v>0.99853359914574957</v>
      </c>
      <c r="H6" s="8">
        <v>0.99846964631434665</v>
      </c>
      <c r="I6" s="8">
        <v>0.99845965916033141</v>
      </c>
      <c r="J6" s="8">
        <v>0.99814258115921728</v>
      </c>
      <c r="K6" s="8">
        <v>0.99408896863310969</v>
      </c>
      <c r="L6" s="5">
        <v>0.99116497304903839</v>
      </c>
      <c r="N6" s="12">
        <f>AVERAGE(C6:F6,J6)</f>
        <v>0.99828525802116064</v>
      </c>
      <c r="O6" s="12">
        <f>AVERAGE(G6:I6)</f>
        <v>0.9984876348734758</v>
      </c>
      <c r="P6" s="12">
        <f>AVERAGE(K6:L6)</f>
        <v>0.99262697084107399</v>
      </c>
    </row>
    <row r="7" spans="1:16" x14ac:dyDescent="0.25">
      <c r="B7" s="2" t="s">
        <v>14</v>
      </c>
      <c r="C7" s="20">
        <v>1</v>
      </c>
      <c r="D7" s="21">
        <v>100</v>
      </c>
      <c r="E7" s="21">
        <v>10</v>
      </c>
      <c r="F7" s="22">
        <v>100</v>
      </c>
      <c r="G7" s="20">
        <v>10</v>
      </c>
      <c r="H7" s="21">
        <v>10</v>
      </c>
      <c r="I7" s="21">
        <v>10</v>
      </c>
      <c r="J7" s="21">
        <v>10</v>
      </c>
      <c r="K7" s="14">
        <v>1</v>
      </c>
      <c r="L7" s="22">
        <v>1</v>
      </c>
    </row>
    <row r="8" spans="1:16" x14ac:dyDescent="0.25">
      <c r="B8" s="2" t="s">
        <v>15</v>
      </c>
      <c r="C8" s="23">
        <v>6000</v>
      </c>
      <c r="D8" s="18">
        <v>250000</v>
      </c>
      <c r="E8" s="18">
        <v>6000.0000000000009</v>
      </c>
      <c r="F8" s="24">
        <v>50000</v>
      </c>
      <c r="G8" s="23">
        <v>30000</v>
      </c>
      <c r="H8" s="18">
        <v>30000</v>
      </c>
      <c r="I8" s="18">
        <v>30000</v>
      </c>
      <c r="J8" s="18">
        <v>4000</v>
      </c>
      <c r="K8" s="18">
        <v>10000</v>
      </c>
      <c r="L8" s="24">
        <v>16000</v>
      </c>
    </row>
    <row r="9" spans="1:16" x14ac:dyDescent="0.25">
      <c r="B9" s="2" t="s">
        <v>16</v>
      </c>
      <c r="C9" s="23">
        <f>-C8</f>
        <v>-6000</v>
      </c>
      <c r="D9" s="18">
        <f t="shared" ref="D9:L9" si="0">-D8</f>
        <v>-250000</v>
      </c>
      <c r="E9" s="18">
        <f t="shared" si="0"/>
        <v>-6000.0000000000009</v>
      </c>
      <c r="F9" s="24">
        <f t="shared" si="0"/>
        <v>-50000</v>
      </c>
      <c r="G9" s="52">
        <f t="shared" si="0"/>
        <v>-30000</v>
      </c>
      <c r="H9" s="53">
        <f t="shared" si="0"/>
        <v>-30000</v>
      </c>
      <c r="I9" s="53">
        <f t="shared" si="0"/>
        <v>-30000</v>
      </c>
      <c r="J9" s="53">
        <f t="shared" si="0"/>
        <v>-4000</v>
      </c>
      <c r="K9" s="53">
        <f t="shared" si="0"/>
        <v>-10000</v>
      </c>
      <c r="L9" s="54">
        <f t="shared" si="0"/>
        <v>-16000</v>
      </c>
    </row>
    <row r="10" spans="1:16" x14ac:dyDescent="0.25">
      <c r="B10" s="2" t="s">
        <v>17</v>
      </c>
      <c r="C10" s="25">
        <v>0.35416666666666669</v>
      </c>
      <c r="D10" s="26">
        <v>0.35416666666666669</v>
      </c>
      <c r="E10" s="26">
        <v>0.35416666666666669</v>
      </c>
      <c r="F10" s="27">
        <v>0.35416666666666669</v>
      </c>
      <c r="G10" s="25">
        <v>0.33333333333333331</v>
      </c>
      <c r="H10" s="26">
        <v>0.375</v>
      </c>
      <c r="I10" s="26">
        <v>0.375</v>
      </c>
      <c r="J10" s="26">
        <v>0.39583333333333331</v>
      </c>
      <c r="K10" s="26">
        <v>0.32291666666666669</v>
      </c>
      <c r="L10" s="27">
        <v>0.38541666666666669</v>
      </c>
    </row>
    <row r="11" spans="1:16" x14ac:dyDescent="0.25">
      <c r="B11" s="2" t="s">
        <v>18</v>
      </c>
      <c r="C11" s="25">
        <v>0.67708333333333337</v>
      </c>
      <c r="D11" s="26">
        <v>0.67708333333333337</v>
      </c>
      <c r="E11" s="26">
        <v>0.67708333333333337</v>
      </c>
      <c r="F11" s="27">
        <v>0.67708333333333337</v>
      </c>
      <c r="G11" s="25">
        <v>0.6875</v>
      </c>
      <c r="H11" s="26">
        <v>0.72916666666666663</v>
      </c>
      <c r="I11" s="26">
        <v>0.72916666666666663</v>
      </c>
      <c r="J11" s="26">
        <v>0.67708333333333337</v>
      </c>
      <c r="K11" s="26">
        <v>0.60416666666666663</v>
      </c>
      <c r="L11" s="27">
        <v>0.6875</v>
      </c>
    </row>
    <row r="12" spans="1:16" x14ac:dyDescent="0.25">
      <c r="B12" s="2" t="s">
        <v>19</v>
      </c>
      <c r="C12" s="28" t="s">
        <v>20</v>
      </c>
      <c r="D12" s="29" t="s">
        <v>20</v>
      </c>
      <c r="E12" s="29" t="s">
        <v>20</v>
      </c>
      <c r="F12" s="30" t="s">
        <v>20</v>
      </c>
      <c r="G12" s="28" t="s">
        <v>21</v>
      </c>
      <c r="H12" s="29" t="s">
        <v>22</v>
      </c>
      <c r="I12" s="29" t="s">
        <v>23</v>
      </c>
      <c r="J12" s="29" t="s">
        <v>27</v>
      </c>
      <c r="K12" s="29" t="s">
        <v>28</v>
      </c>
      <c r="L12" s="30" t="s">
        <v>29</v>
      </c>
    </row>
    <row r="13" spans="1:16" x14ac:dyDescent="0.25">
      <c r="B13" s="2" t="s">
        <v>30</v>
      </c>
      <c r="C13" s="31">
        <v>1</v>
      </c>
      <c r="D13" s="32">
        <v>0.25</v>
      </c>
      <c r="E13" s="32">
        <v>0.1</v>
      </c>
      <c r="F13" s="33">
        <v>0.25</v>
      </c>
      <c r="G13" s="31">
        <v>0.5</v>
      </c>
      <c r="H13" s="32">
        <v>0.5</v>
      </c>
      <c r="I13" s="32">
        <v>0.5</v>
      </c>
      <c r="J13" s="32">
        <v>0.1</v>
      </c>
      <c r="K13" s="32">
        <v>5</v>
      </c>
      <c r="L13" s="33">
        <v>1</v>
      </c>
    </row>
    <row r="14" spans="1:16" x14ac:dyDescent="0.25">
      <c r="B14" s="2" t="s">
        <v>35</v>
      </c>
      <c r="C14" s="34">
        <f>(C8-C9)/C13/C7</f>
        <v>12000</v>
      </c>
      <c r="D14" s="35">
        <f t="shared" ref="D14:L14" si="1">(D8-D9)/D13/D7</f>
        <v>20000</v>
      </c>
      <c r="E14" s="35">
        <f t="shared" si="1"/>
        <v>12000.000000000002</v>
      </c>
      <c r="F14" s="36">
        <f t="shared" si="1"/>
        <v>4000</v>
      </c>
      <c r="G14" s="34">
        <f t="shared" si="1"/>
        <v>12000</v>
      </c>
      <c r="H14" s="35">
        <f t="shared" si="1"/>
        <v>12000</v>
      </c>
      <c r="I14" s="35">
        <f t="shared" si="1"/>
        <v>12000</v>
      </c>
      <c r="J14" s="35">
        <f t="shared" si="1"/>
        <v>8000</v>
      </c>
      <c r="K14" s="35">
        <f t="shared" si="1"/>
        <v>4000</v>
      </c>
      <c r="L14" s="36">
        <f t="shared" si="1"/>
        <v>32000</v>
      </c>
    </row>
    <row r="15" spans="1:16" x14ac:dyDescent="0.25">
      <c r="A15" s="16" t="s">
        <v>34</v>
      </c>
      <c r="B15" s="2" t="s">
        <v>32</v>
      </c>
      <c r="C15" s="55">
        <v>6.1476314922256101</v>
      </c>
      <c r="D15" s="56">
        <v>2.3265638192798761</v>
      </c>
      <c r="E15" s="56">
        <v>0.511364472754685</v>
      </c>
      <c r="F15" s="57">
        <v>0.67725466703585002</v>
      </c>
      <c r="G15" s="55">
        <v>2.7812370713209957</v>
      </c>
      <c r="H15" s="56">
        <v>3.4828793877340534</v>
      </c>
      <c r="I15" s="56">
        <v>2.6148220718248312</v>
      </c>
      <c r="J15" s="56">
        <v>0.45944413270244083</v>
      </c>
      <c r="K15" s="56">
        <v>11.520940766680676</v>
      </c>
      <c r="L15" s="57">
        <v>16.090335784806676</v>
      </c>
    </row>
    <row r="16" spans="1:16" x14ac:dyDescent="0.25">
      <c r="B16" s="2" t="s">
        <v>36</v>
      </c>
      <c r="C16" s="34">
        <f>(C8-C9)/C15/C7</f>
        <v>1951.971261643673</v>
      </c>
      <c r="D16" s="35">
        <f t="shared" ref="D16:L16" si="2">(D8-D9)/D15/D7</f>
        <v>2149.0921325973395</v>
      </c>
      <c r="E16" s="35">
        <f t="shared" si="2"/>
        <v>2346.6628284434455</v>
      </c>
      <c r="F16" s="36">
        <f t="shared" si="2"/>
        <v>1476.5494409609817</v>
      </c>
      <c r="G16" s="34">
        <f t="shared" si="2"/>
        <v>2157.3133990876222</v>
      </c>
      <c r="H16" s="35">
        <f t="shared" si="2"/>
        <v>1722.7125409885568</v>
      </c>
      <c r="I16" s="35">
        <f t="shared" si="2"/>
        <v>2294.6111954044818</v>
      </c>
      <c r="J16" s="35">
        <f t="shared" si="2"/>
        <v>1741.234555101219</v>
      </c>
      <c r="K16" s="35">
        <f t="shared" si="2"/>
        <v>1735.9693453021932</v>
      </c>
      <c r="L16" s="36">
        <f t="shared" si="2"/>
        <v>1988.7714232922378</v>
      </c>
    </row>
    <row r="17" spans="1:12" x14ac:dyDescent="0.25">
      <c r="B17" s="2" t="s">
        <v>38</v>
      </c>
      <c r="C17" s="37">
        <v>2000</v>
      </c>
      <c r="D17" s="38">
        <v>2000</v>
      </c>
      <c r="E17" s="38">
        <v>2000</v>
      </c>
      <c r="F17" s="39">
        <v>2000</v>
      </c>
      <c r="G17" s="37">
        <v>2000</v>
      </c>
      <c r="H17" s="38">
        <v>2000</v>
      </c>
      <c r="I17" s="38">
        <v>2000</v>
      </c>
      <c r="J17" s="38">
        <v>2000</v>
      </c>
      <c r="K17" s="38">
        <v>2000</v>
      </c>
      <c r="L17" s="39">
        <v>2000</v>
      </c>
    </row>
    <row r="18" spans="1:12" x14ac:dyDescent="0.25">
      <c r="A18" t="s">
        <v>39</v>
      </c>
      <c r="B18" s="2" t="s">
        <v>37</v>
      </c>
      <c r="C18" s="62">
        <f>(C8-C9)/C17/C7</f>
        <v>6</v>
      </c>
      <c r="D18" s="61">
        <f>(D8-D9)/D17/D7</f>
        <v>2.5</v>
      </c>
      <c r="E18" s="61">
        <f t="shared" ref="E18:L18" si="3">(E8-E9)/E17/E7</f>
        <v>0.60000000000000009</v>
      </c>
      <c r="F18" s="63">
        <f t="shared" si="3"/>
        <v>0.5</v>
      </c>
      <c r="G18" s="62">
        <f t="shared" si="3"/>
        <v>3</v>
      </c>
      <c r="H18" s="61">
        <f t="shared" si="3"/>
        <v>3</v>
      </c>
      <c r="I18" s="61">
        <f t="shared" si="3"/>
        <v>3</v>
      </c>
      <c r="J18" s="61">
        <f t="shared" si="3"/>
        <v>0.4</v>
      </c>
      <c r="K18" s="61">
        <f t="shared" si="3"/>
        <v>10</v>
      </c>
      <c r="L18" s="63">
        <f t="shared" si="3"/>
        <v>16</v>
      </c>
    </row>
    <row r="19" spans="1:12" x14ac:dyDescent="0.25">
      <c r="B19" s="2" t="s">
        <v>33</v>
      </c>
      <c r="C19" s="40">
        <f>C18/C15</f>
        <v>0.97598563082183643</v>
      </c>
      <c r="D19" s="41">
        <f>D18/D15</f>
        <v>1.0745460662986697</v>
      </c>
      <c r="E19" s="41">
        <f>E18/E15</f>
        <v>1.1733314142217226</v>
      </c>
      <c r="F19" s="42">
        <f>F18/F15</f>
        <v>0.7382747204804907</v>
      </c>
      <c r="G19" s="40">
        <f t="shared" ref="G19:L19" si="4">G18/G15</f>
        <v>1.0786566995438109</v>
      </c>
      <c r="H19" s="41">
        <f t="shared" si="4"/>
        <v>0.86135627049427843</v>
      </c>
      <c r="I19" s="41">
        <f t="shared" si="4"/>
        <v>1.1473055977022411</v>
      </c>
      <c r="J19" s="41">
        <f>J18/J15</f>
        <v>0.87061727755060958</v>
      </c>
      <c r="K19" s="41">
        <f t="shared" si="4"/>
        <v>0.86798467265109658</v>
      </c>
      <c r="L19" s="42">
        <f t="shared" si="4"/>
        <v>0.99438571164611889</v>
      </c>
    </row>
    <row r="20" spans="1:12" x14ac:dyDescent="0.25">
      <c r="B20" s="2" t="s">
        <v>31</v>
      </c>
      <c r="C20" s="31">
        <f>C18/C13</f>
        <v>6</v>
      </c>
      <c r="D20" s="32">
        <f t="shared" ref="D20:K20" si="5">D18/D13</f>
        <v>10</v>
      </c>
      <c r="E20" s="32">
        <f t="shared" si="5"/>
        <v>6.0000000000000009</v>
      </c>
      <c r="F20" s="33">
        <f t="shared" si="5"/>
        <v>2</v>
      </c>
      <c r="G20" s="31">
        <f t="shared" si="5"/>
        <v>6</v>
      </c>
      <c r="H20" s="32">
        <f t="shared" si="5"/>
        <v>6</v>
      </c>
      <c r="I20" s="32">
        <f t="shared" si="5"/>
        <v>6</v>
      </c>
      <c r="J20" s="32">
        <f t="shared" si="5"/>
        <v>4</v>
      </c>
      <c r="K20" s="32">
        <f t="shared" si="5"/>
        <v>2</v>
      </c>
      <c r="L20" s="33">
        <f>L18/L13</f>
        <v>16</v>
      </c>
    </row>
    <row r="21" spans="1:12" x14ac:dyDescent="0.25">
      <c r="A21" t="s">
        <v>47</v>
      </c>
      <c r="B21" s="2" t="s">
        <v>40</v>
      </c>
      <c r="C21" s="43">
        <v>1222194</v>
      </c>
      <c r="D21" s="44">
        <v>1605914</v>
      </c>
      <c r="E21" s="44">
        <v>1343349</v>
      </c>
      <c r="F21" s="45">
        <v>1006199</v>
      </c>
      <c r="G21" s="43">
        <v>2166604</v>
      </c>
      <c r="H21" s="44">
        <v>1719090</v>
      </c>
      <c r="I21" s="44">
        <v>2174427</v>
      </c>
      <c r="J21" s="44">
        <v>1637441</v>
      </c>
      <c r="K21" s="44">
        <v>1703286</v>
      </c>
      <c r="L21" s="45">
        <v>1901310</v>
      </c>
    </row>
    <row r="22" spans="1:12" x14ac:dyDescent="0.25">
      <c r="B22" s="2" t="s">
        <v>41</v>
      </c>
      <c r="C22" s="43">
        <v>2394542</v>
      </c>
      <c r="D22" s="44">
        <v>2683308</v>
      </c>
      <c r="E22" s="44">
        <v>2440922</v>
      </c>
      <c r="F22" s="45">
        <v>2865897</v>
      </c>
      <c r="G22" s="43">
        <v>3490977</v>
      </c>
      <c r="H22" s="44">
        <v>3695767</v>
      </c>
      <c r="I22" s="44">
        <v>3306021</v>
      </c>
      <c r="J22" s="44">
        <v>2630350</v>
      </c>
      <c r="K22" s="44">
        <v>2878874</v>
      </c>
      <c r="L22" s="45">
        <v>2572607</v>
      </c>
    </row>
    <row r="23" spans="1:12" x14ac:dyDescent="0.25">
      <c r="B23" s="2" t="s">
        <v>42</v>
      </c>
      <c r="C23" s="46">
        <f t="shared" ref="C23:K23" si="6">C21/C22</f>
        <v>0.51040825343635654</v>
      </c>
      <c r="D23" s="47">
        <f t="shared" si="6"/>
        <v>0.59848291735425074</v>
      </c>
      <c r="E23" s="47">
        <f t="shared" si="6"/>
        <v>0.55034491065261404</v>
      </c>
      <c r="F23" s="48">
        <f t="shared" si="6"/>
        <v>0.35109391579669474</v>
      </c>
      <c r="G23" s="46">
        <f t="shared" si="6"/>
        <v>0.62062969764624631</v>
      </c>
      <c r="H23" s="47">
        <f t="shared" si="6"/>
        <v>0.46515107689418733</v>
      </c>
      <c r="I23" s="47">
        <f t="shared" si="6"/>
        <v>0.65771723773079482</v>
      </c>
      <c r="J23" s="47">
        <f t="shared" si="6"/>
        <v>0.62251829604425268</v>
      </c>
      <c r="K23" s="47">
        <f t="shared" si="6"/>
        <v>0.59165006874215409</v>
      </c>
      <c r="L23" s="48">
        <f>L21/L22</f>
        <v>0.73905963872445346</v>
      </c>
    </row>
    <row r="24" spans="1:12" x14ac:dyDescent="0.25">
      <c r="A24" t="s">
        <v>43</v>
      </c>
      <c r="B24" s="2" t="s">
        <v>40</v>
      </c>
      <c r="C24" s="43">
        <v>467987</v>
      </c>
      <c r="D24" s="44">
        <v>712935</v>
      </c>
      <c r="E24" s="44">
        <v>557445</v>
      </c>
      <c r="F24" s="45">
        <v>378096</v>
      </c>
      <c r="G24" s="43">
        <v>851899</v>
      </c>
      <c r="H24" s="44">
        <v>637282</v>
      </c>
      <c r="I24" s="44">
        <v>887230</v>
      </c>
      <c r="J24" s="44">
        <v>691840</v>
      </c>
      <c r="K24" s="44">
        <v>799720</v>
      </c>
      <c r="L24" s="45">
        <v>1085419</v>
      </c>
    </row>
    <row r="25" spans="1:12" x14ac:dyDescent="0.25">
      <c r="B25" s="2" t="s">
        <v>41</v>
      </c>
      <c r="C25" s="43">
        <v>2394533</v>
      </c>
      <c r="D25" s="44">
        <v>2683299</v>
      </c>
      <c r="E25" s="44">
        <v>2440913</v>
      </c>
      <c r="F25" s="45">
        <v>2865888</v>
      </c>
      <c r="G25" s="43">
        <v>3490968</v>
      </c>
      <c r="H25" s="44">
        <v>3695758</v>
      </c>
      <c r="I25" s="44">
        <v>3306012</v>
      </c>
      <c r="J25" s="44">
        <v>2630341</v>
      </c>
      <c r="K25" s="44">
        <v>2878865</v>
      </c>
      <c r="L25" s="45">
        <v>2572598</v>
      </c>
    </row>
    <row r="26" spans="1:12" x14ac:dyDescent="0.25">
      <c r="B26" s="2" t="s">
        <v>42</v>
      </c>
      <c r="C26" s="46">
        <f t="shared" ref="C26:K26" si="7">C24/C25</f>
        <v>0.19543977886293487</v>
      </c>
      <c r="D26" s="47">
        <f t="shared" si="7"/>
        <v>0.26569346166789465</v>
      </c>
      <c r="E26" s="47">
        <f t="shared" si="7"/>
        <v>0.22837561191242786</v>
      </c>
      <c r="F26" s="48">
        <f t="shared" si="7"/>
        <v>0.13192978930090779</v>
      </c>
      <c r="G26" s="46">
        <f t="shared" si="7"/>
        <v>0.24402944971136944</v>
      </c>
      <c r="H26" s="47">
        <f t="shared" si="7"/>
        <v>0.17243607400701019</v>
      </c>
      <c r="I26" s="47">
        <f t="shared" si="7"/>
        <v>0.26836865685907973</v>
      </c>
      <c r="J26" s="47">
        <f t="shared" si="7"/>
        <v>0.26302293124731735</v>
      </c>
      <c r="K26" s="47">
        <f t="shared" si="7"/>
        <v>0.27779003183546291</v>
      </c>
      <c r="L26" s="48">
        <f>L24/L25</f>
        <v>0.42191551109034525</v>
      </c>
    </row>
    <row r="27" spans="1:12" x14ac:dyDescent="0.25">
      <c r="A27" t="s">
        <v>44</v>
      </c>
      <c r="B27" s="2" t="s">
        <v>40</v>
      </c>
      <c r="C27" s="43">
        <v>138522</v>
      </c>
      <c r="D27" s="44">
        <v>223346</v>
      </c>
      <c r="E27" s="44">
        <v>142592</v>
      </c>
      <c r="F27" s="45">
        <v>114068</v>
      </c>
      <c r="G27" s="43">
        <v>251058</v>
      </c>
      <c r="H27" s="44">
        <v>193708</v>
      </c>
      <c r="I27" s="44">
        <v>269235</v>
      </c>
      <c r="J27" s="44">
        <v>205391</v>
      </c>
      <c r="K27" s="44">
        <v>213616</v>
      </c>
      <c r="L27" s="45">
        <v>318927</v>
      </c>
    </row>
    <row r="28" spans="1:12" x14ac:dyDescent="0.25">
      <c r="B28" s="2" t="s">
        <v>41</v>
      </c>
      <c r="C28" s="43">
        <v>2394443</v>
      </c>
      <c r="D28" s="44">
        <v>2683209</v>
      </c>
      <c r="E28" s="44">
        <v>2440823</v>
      </c>
      <c r="F28" s="45">
        <v>2865798</v>
      </c>
      <c r="G28" s="43">
        <v>3490878</v>
      </c>
      <c r="H28" s="44">
        <v>3695668</v>
      </c>
      <c r="I28" s="44">
        <v>3305922</v>
      </c>
      <c r="J28" s="44">
        <v>2630251</v>
      </c>
      <c r="K28" s="44">
        <v>2878775</v>
      </c>
      <c r="L28" s="45">
        <v>2572508</v>
      </c>
    </row>
    <row r="29" spans="1:12" x14ac:dyDescent="0.25">
      <c r="B29" s="2" t="s">
        <v>42</v>
      </c>
      <c r="C29" s="46">
        <f t="shared" ref="C29:K29" si="8">C27/C28</f>
        <v>5.7851450212011726E-2</v>
      </c>
      <c r="D29" s="47">
        <f t="shared" si="8"/>
        <v>8.3238391045945354E-2</v>
      </c>
      <c r="E29" s="47">
        <f t="shared" si="8"/>
        <v>5.8419639605165961E-2</v>
      </c>
      <c r="F29" s="48">
        <f t="shared" si="8"/>
        <v>3.9803224093254305E-2</v>
      </c>
      <c r="G29" s="46">
        <f t="shared" si="8"/>
        <v>7.1918296772330623E-2</v>
      </c>
      <c r="H29" s="47">
        <f t="shared" si="8"/>
        <v>5.2414881423331318E-2</v>
      </c>
      <c r="I29" s="47">
        <f t="shared" si="8"/>
        <v>8.1440215467878552E-2</v>
      </c>
      <c r="J29" s="47">
        <f t="shared" si="8"/>
        <v>7.8087984758869022E-2</v>
      </c>
      <c r="K29" s="47">
        <f t="shared" si="8"/>
        <v>7.4203784595878453E-2</v>
      </c>
      <c r="L29" s="48">
        <f>L27/L28</f>
        <v>0.12397512466433534</v>
      </c>
    </row>
    <row r="30" spans="1:12" x14ac:dyDescent="0.25">
      <c r="A30" t="s">
        <v>45</v>
      </c>
      <c r="B30" s="2" t="s">
        <v>40</v>
      </c>
      <c r="C30" s="43">
        <v>31853</v>
      </c>
      <c r="D30" s="44">
        <v>49914</v>
      </c>
      <c r="E30" s="44">
        <v>35604</v>
      </c>
      <c r="F30" s="45">
        <v>26888</v>
      </c>
      <c r="G30" s="43">
        <v>61014</v>
      </c>
      <c r="H30" s="44">
        <v>39918</v>
      </c>
      <c r="I30" s="44">
        <v>65026</v>
      </c>
      <c r="J30" s="44">
        <v>46958</v>
      </c>
      <c r="K30" s="44">
        <v>41747</v>
      </c>
      <c r="L30" s="45">
        <v>47267</v>
      </c>
    </row>
    <row r="31" spans="1:12" x14ac:dyDescent="0.25">
      <c r="B31" s="2" t="s">
        <v>41</v>
      </c>
      <c r="C31" s="43">
        <v>2393543</v>
      </c>
      <c r="D31" s="44">
        <v>2682309</v>
      </c>
      <c r="E31" s="44">
        <v>2439923</v>
      </c>
      <c r="F31" s="45">
        <v>2864898</v>
      </c>
      <c r="G31" s="43">
        <v>3489978</v>
      </c>
      <c r="H31" s="44">
        <v>3694768</v>
      </c>
      <c r="I31" s="44">
        <v>3305022</v>
      </c>
      <c r="J31" s="44">
        <v>2629351</v>
      </c>
      <c r="K31" s="44">
        <v>2877875</v>
      </c>
      <c r="L31" s="45">
        <v>2571608</v>
      </c>
    </row>
    <row r="32" spans="1:12" x14ac:dyDescent="0.25">
      <c r="B32" s="2" t="s">
        <v>42</v>
      </c>
      <c r="C32" s="46">
        <f t="shared" ref="C32:K32" si="9">C30/C31</f>
        <v>1.3307887094570684E-2</v>
      </c>
      <c r="D32" s="47">
        <f t="shared" si="9"/>
        <v>1.8608594311841028E-2</v>
      </c>
      <c r="E32" s="47">
        <f t="shared" si="9"/>
        <v>1.4592263772258387E-2</v>
      </c>
      <c r="F32" s="48">
        <f t="shared" si="9"/>
        <v>9.3853254112362811E-3</v>
      </c>
      <c r="G32" s="46">
        <f t="shared" si="9"/>
        <v>1.7482631695672581E-2</v>
      </c>
      <c r="H32" s="47">
        <f t="shared" si="9"/>
        <v>1.0803925983986004E-2</v>
      </c>
      <c r="I32" s="47">
        <f t="shared" si="9"/>
        <v>1.9674906853872683E-2</v>
      </c>
      <c r="J32" s="47">
        <f t="shared" si="9"/>
        <v>1.785915992197314E-2</v>
      </c>
      <c r="K32" s="47">
        <f t="shared" si="9"/>
        <v>1.4506189462711202E-2</v>
      </c>
      <c r="L32" s="48">
        <f>L30/L31</f>
        <v>1.8380328572628488E-2</v>
      </c>
    </row>
    <row r="33" spans="1:12" x14ac:dyDescent="0.25">
      <c r="A33" t="s">
        <v>46</v>
      </c>
      <c r="B33" s="2" t="s">
        <v>40</v>
      </c>
      <c r="C33" s="43">
        <v>8790</v>
      </c>
      <c r="D33" s="44">
        <v>13288</v>
      </c>
      <c r="E33" s="44">
        <v>9496</v>
      </c>
      <c r="F33" s="45">
        <v>6773</v>
      </c>
      <c r="G33" s="43">
        <v>18520</v>
      </c>
      <c r="H33" s="44">
        <v>10650</v>
      </c>
      <c r="I33" s="44">
        <v>18358</v>
      </c>
      <c r="J33" s="44">
        <v>11105</v>
      </c>
      <c r="K33" s="44">
        <v>10741</v>
      </c>
      <c r="L33" s="45">
        <v>12585</v>
      </c>
    </row>
    <row r="34" spans="1:12" x14ac:dyDescent="0.25">
      <c r="B34" s="2" t="s">
        <v>41</v>
      </c>
      <c r="C34" s="43">
        <v>2384543</v>
      </c>
      <c r="D34" s="44">
        <v>2673309</v>
      </c>
      <c r="E34" s="44">
        <v>2430923</v>
      </c>
      <c r="F34" s="45">
        <v>2855898</v>
      </c>
      <c r="G34" s="43">
        <v>3480978</v>
      </c>
      <c r="H34" s="44">
        <v>3685768</v>
      </c>
      <c r="I34" s="44">
        <v>3296022</v>
      </c>
      <c r="J34" s="44">
        <v>2620351</v>
      </c>
      <c r="K34" s="44">
        <v>2868875</v>
      </c>
      <c r="L34" s="45">
        <v>2562608</v>
      </c>
    </row>
    <row r="35" spans="1:12" ht="15.75" thickBot="1" x14ac:dyDescent="0.3">
      <c r="B35" s="2" t="s">
        <v>42</v>
      </c>
      <c r="C35" s="49">
        <f t="shared" ref="C35:K35" si="10">C33/C34</f>
        <v>3.6862409275068642E-3</v>
      </c>
      <c r="D35" s="50">
        <f t="shared" si="10"/>
        <v>4.9706188098719599E-3</v>
      </c>
      <c r="E35" s="50">
        <f t="shared" si="10"/>
        <v>3.9063351656963216E-3</v>
      </c>
      <c r="F35" s="51">
        <f t="shared" si="10"/>
        <v>2.371583298843306E-3</v>
      </c>
      <c r="G35" s="49">
        <f t="shared" si="10"/>
        <v>5.3203438803692523E-3</v>
      </c>
      <c r="H35" s="50">
        <f t="shared" si="10"/>
        <v>2.8894927732836142E-3</v>
      </c>
      <c r="I35" s="50">
        <f t="shared" si="10"/>
        <v>5.5697443767062232E-3</v>
      </c>
      <c r="J35" s="50">
        <f t="shared" si="10"/>
        <v>4.2379818581556438E-3</v>
      </c>
      <c r="K35" s="50">
        <f t="shared" si="10"/>
        <v>3.7439762973290923E-3</v>
      </c>
      <c r="L35" s="51">
        <f>L33/L34</f>
        <v>4.9110125309840599E-3</v>
      </c>
    </row>
    <row r="36" spans="1:12" ht="15.75" thickBot="1" x14ac:dyDescent="0.3"/>
    <row r="37" spans="1:12" ht="15.75" thickBot="1" x14ac:dyDescent="0.3">
      <c r="A37" t="s">
        <v>15</v>
      </c>
      <c r="B37" s="16">
        <v>0.1</v>
      </c>
      <c r="C37" s="58">
        <f>MAX(ROUND(C15*$B$37/C13,0)*C13,C13)*C17*C7</f>
        <v>2000</v>
      </c>
      <c r="D37" s="59">
        <f>MAX(ROUND(D15*$B$37/D13,0)*D13,D13)*D17*D7</f>
        <v>50000</v>
      </c>
      <c r="E37" s="59">
        <f>MAX(ROUND(E15*$B$37/E13,0)*E13,E13)*E17*E7</f>
        <v>2000</v>
      </c>
      <c r="F37" s="59">
        <f>MAX(ROUND(F15*$B$37/F13,0)*F13,F13)*F17*F7</f>
        <v>50000</v>
      </c>
      <c r="G37" s="59">
        <f>MAX(ROUND(G15*$B$37/G13,0)*G13,G13)*G17*G7</f>
        <v>10000</v>
      </c>
      <c r="H37" s="59">
        <f>MAX(ROUND(H15*$B$37/H13,0)*H13,H13)*H17*H7</f>
        <v>10000</v>
      </c>
      <c r="I37" s="59">
        <f>MAX(ROUND(I15*$B$37/I13,0)*I13,I13)*I17*I7</f>
        <v>10000</v>
      </c>
      <c r="J37" s="59">
        <f>MAX(ROUND(J15*$B$37/J13,0)*J13,J13)*J17*J7</f>
        <v>2000</v>
      </c>
      <c r="K37" s="59">
        <f>MAX(ROUND(K15*$B$37/K13,0)*K13,K13)*K17*K7</f>
        <v>10000</v>
      </c>
      <c r="L37" s="60">
        <f>MAX(ROUND(L15*$B$37/L13,0)*L13,L13)*L17*L7</f>
        <v>4000</v>
      </c>
    </row>
    <row r="38" spans="1:12" x14ac:dyDescent="0.25">
      <c r="B38" s="1" t="s">
        <v>37</v>
      </c>
      <c r="C38" s="92">
        <f>(C37+C37)/C17</f>
        <v>2</v>
      </c>
      <c r="D38" s="92">
        <f>(D37+D37)/D17</f>
        <v>50</v>
      </c>
      <c r="E38" s="92">
        <f>(E37+E37)/E17</f>
        <v>2</v>
      </c>
      <c r="F38" s="92">
        <f>(F37+F37)/F17</f>
        <v>50</v>
      </c>
      <c r="G38" s="92">
        <f>(G37+G37)/G17</f>
        <v>10</v>
      </c>
      <c r="H38" s="92">
        <f>(H37+H37)/H17</f>
        <v>10</v>
      </c>
      <c r="I38" s="92">
        <f>(I37+I37)/I17</f>
        <v>10</v>
      </c>
      <c r="J38" s="92">
        <f>(J37+J37)/J17</f>
        <v>2</v>
      </c>
      <c r="K38" s="92">
        <f>(K37+K37)/K17</f>
        <v>10</v>
      </c>
      <c r="L38" s="92">
        <f>(L37+L37)/L17</f>
        <v>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8D707-29E9-4B35-8BDB-300F065A722C}">
  <dimension ref="A1:P38"/>
  <sheetViews>
    <sheetView topLeftCell="A7" zoomScale="110" zoomScaleNormal="110" workbookViewId="0">
      <selection activeCell="A37" sqref="A37:L38"/>
    </sheetView>
  </sheetViews>
  <sheetFormatPr defaultRowHeight="15" x14ac:dyDescent="0.25"/>
  <cols>
    <col min="1" max="1" width="11.42578125" bestFit="1" customWidth="1"/>
    <col min="2" max="2" width="21" bestFit="1" customWidth="1"/>
    <col min="3" max="3" width="9.85546875" bestFit="1" customWidth="1"/>
    <col min="4" max="4" width="10.85546875" bestFit="1" customWidth="1"/>
    <col min="5" max="10" width="9.85546875" bestFit="1" customWidth="1"/>
    <col min="11" max="11" width="10" bestFit="1" customWidth="1"/>
    <col min="12" max="12" width="10.42578125" bestFit="1" customWidth="1"/>
    <col min="14" max="14" width="14" bestFit="1" customWidth="1"/>
  </cols>
  <sheetData>
    <row r="1" spans="1:16" x14ac:dyDescent="0.25"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</row>
    <row r="2" spans="1:16" ht="15.75" thickBot="1" x14ac:dyDescent="0.3">
      <c r="C2" s="1" t="s">
        <v>0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12</v>
      </c>
      <c r="L2" s="1" t="s">
        <v>10</v>
      </c>
      <c r="N2" s="1" t="s">
        <v>24</v>
      </c>
      <c r="O2" s="1" t="s">
        <v>25</v>
      </c>
      <c r="P2" s="1" t="s">
        <v>26</v>
      </c>
    </row>
    <row r="3" spans="1:16" x14ac:dyDescent="0.25">
      <c r="B3" s="1" t="s">
        <v>13</v>
      </c>
      <c r="C3" s="13">
        <v>2001</v>
      </c>
      <c r="D3" s="14">
        <v>2001</v>
      </c>
      <c r="E3" s="14">
        <v>2001</v>
      </c>
      <c r="F3" s="15">
        <v>2001</v>
      </c>
      <c r="G3" s="13">
        <v>2001</v>
      </c>
      <c r="H3" s="14">
        <v>2001</v>
      </c>
      <c r="I3" s="14">
        <v>2001</v>
      </c>
      <c r="J3" s="14">
        <v>2001</v>
      </c>
      <c r="K3" s="14">
        <v>2001</v>
      </c>
      <c r="L3" s="15">
        <v>2001</v>
      </c>
    </row>
    <row r="4" spans="1:16" x14ac:dyDescent="0.25">
      <c r="B4" s="1" t="s">
        <v>1</v>
      </c>
      <c r="C4" s="9">
        <v>1.7128462411604763</v>
      </c>
      <c r="D4" s="6">
        <v>1.7517720276786191</v>
      </c>
      <c r="E4" s="6">
        <v>1.512335699511129</v>
      </c>
      <c r="F4" s="3">
        <v>1.7767389162449847</v>
      </c>
      <c r="G4" s="9">
        <v>1.7007732019317074</v>
      </c>
      <c r="H4" s="6">
        <v>1.706797239506201</v>
      </c>
      <c r="I4" s="6">
        <v>1.7301703954717618</v>
      </c>
      <c r="J4" s="6">
        <v>1.6352847994450475</v>
      </c>
      <c r="K4" s="6">
        <v>1.4925627895636289</v>
      </c>
      <c r="L4" s="3">
        <v>0.98676921425225605</v>
      </c>
      <c r="N4" s="12">
        <f>AVERAGE(C4:F4,J4)</f>
        <v>1.6777955368080513</v>
      </c>
      <c r="O4" s="12">
        <f>AVERAGE(G4:I4)</f>
        <v>1.7125802789698898</v>
      </c>
      <c r="P4" s="12">
        <f>AVERAGE(K4:L4)</f>
        <v>1.2396660019079424</v>
      </c>
    </row>
    <row r="5" spans="1:16" x14ac:dyDescent="0.25">
      <c r="B5" s="1" t="s">
        <v>11</v>
      </c>
      <c r="C5" s="10">
        <v>3.5413268158757822</v>
      </c>
      <c r="D5" s="7">
        <v>0.45314088747169784</v>
      </c>
      <c r="E5" s="7">
        <v>4.1542614180434916E-2</v>
      </c>
      <c r="F5" s="4">
        <v>0.104431510132585</v>
      </c>
      <c r="G5" s="10">
        <v>0.6848496479455044</v>
      </c>
      <c r="H5" s="7">
        <v>1.2729941216437182</v>
      </c>
      <c r="I5" s="7">
        <v>0.61353710323852406</v>
      </c>
      <c r="J5" s="7">
        <v>1.5992415439704286E-2</v>
      </c>
      <c r="K5" s="7">
        <v>2.5261703596429728</v>
      </c>
      <c r="L5" s="4">
        <v>0.30408792053582162</v>
      </c>
      <c r="M5" s="1" t="s">
        <v>48</v>
      </c>
      <c r="N5" s="19">
        <f>STDEV(C4:F4,J4)</f>
        <v>0.10685853494339556</v>
      </c>
      <c r="O5" s="19">
        <f>STDEV(G4:I4)</f>
        <v>1.5528406424575312E-2</v>
      </c>
      <c r="P5" s="19">
        <f>STDEV(K4:L4)</f>
        <v>0.35765006698326074</v>
      </c>
    </row>
    <row r="6" spans="1:16" ht="15.75" thickBot="1" x14ac:dyDescent="0.3">
      <c r="B6" s="1" t="s">
        <v>2</v>
      </c>
      <c r="C6" s="11">
        <v>0.99611765810328878</v>
      </c>
      <c r="D6" s="8">
        <v>0.99723757892048881</v>
      </c>
      <c r="E6" s="8">
        <v>0.99839795815429755</v>
      </c>
      <c r="F6" s="5">
        <v>0.99639624175721486</v>
      </c>
      <c r="G6" s="11">
        <v>0.99782158466821469</v>
      </c>
      <c r="H6" s="8">
        <v>0.99333994989916052</v>
      </c>
      <c r="I6" s="8">
        <v>0.996672359932541</v>
      </c>
      <c r="J6" s="8">
        <v>0.99385076257595584</v>
      </c>
      <c r="K6" s="8">
        <v>0.98736199029559757</v>
      </c>
      <c r="L6" s="5">
        <v>0.95228317487534786</v>
      </c>
      <c r="N6" s="12">
        <f>AVERAGE(C6:F6,J6)</f>
        <v>0.99640003990224923</v>
      </c>
      <c r="O6" s="12">
        <f>AVERAGE(G6:I6)</f>
        <v>0.99594463149997203</v>
      </c>
      <c r="P6" s="12">
        <f>AVERAGE(K6:L6)</f>
        <v>0.96982258258547271</v>
      </c>
    </row>
    <row r="7" spans="1:16" x14ac:dyDescent="0.25">
      <c r="B7" s="2" t="s">
        <v>14</v>
      </c>
      <c r="C7" s="20">
        <v>1</v>
      </c>
      <c r="D7" s="21">
        <v>100</v>
      </c>
      <c r="E7" s="21">
        <v>10</v>
      </c>
      <c r="F7" s="22">
        <v>100</v>
      </c>
      <c r="G7" s="20">
        <v>10</v>
      </c>
      <c r="H7" s="21">
        <v>10</v>
      </c>
      <c r="I7" s="21">
        <v>10</v>
      </c>
      <c r="J7" s="21">
        <v>10</v>
      </c>
      <c r="K7" s="14">
        <v>1</v>
      </c>
      <c r="L7" s="22">
        <v>1</v>
      </c>
    </row>
    <row r="8" spans="1:16" x14ac:dyDescent="0.25">
      <c r="B8" s="2" t="s">
        <v>15</v>
      </c>
      <c r="C8" s="23">
        <v>2000</v>
      </c>
      <c r="D8" s="18">
        <v>50000</v>
      </c>
      <c r="E8" s="18">
        <v>2000</v>
      </c>
      <c r="F8" s="24">
        <v>50000</v>
      </c>
      <c r="G8" s="23">
        <v>10000</v>
      </c>
      <c r="H8" s="18">
        <v>10000</v>
      </c>
      <c r="I8" s="18">
        <v>10000</v>
      </c>
      <c r="J8" s="18">
        <v>2000</v>
      </c>
      <c r="K8" s="18">
        <v>10000</v>
      </c>
      <c r="L8" s="24">
        <v>4000</v>
      </c>
    </row>
    <row r="9" spans="1:16" x14ac:dyDescent="0.25">
      <c r="B9" s="2" t="s">
        <v>16</v>
      </c>
      <c r="C9" s="23">
        <f>-C8</f>
        <v>-2000</v>
      </c>
      <c r="D9" s="18">
        <f t="shared" ref="D9:L9" si="0">-D8</f>
        <v>-50000</v>
      </c>
      <c r="E9" s="18">
        <f t="shared" si="0"/>
        <v>-2000</v>
      </c>
      <c r="F9" s="24">
        <f t="shared" si="0"/>
        <v>-50000</v>
      </c>
      <c r="G9" s="52">
        <f t="shared" si="0"/>
        <v>-10000</v>
      </c>
      <c r="H9" s="53">
        <f t="shared" si="0"/>
        <v>-10000</v>
      </c>
      <c r="I9" s="53">
        <f t="shared" si="0"/>
        <v>-10000</v>
      </c>
      <c r="J9" s="53">
        <f t="shared" si="0"/>
        <v>-2000</v>
      </c>
      <c r="K9" s="53">
        <f t="shared" si="0"/>
        <v>-10000</v>
      </c>
      <c r="L9" s="54">
        <f t="shared" si="0"/>
        <v>-4000</v>
      </c>
    </row>
    <row r="10" spans="1:16" x14ac:dyDescent="0.25">
      <c r="B10" s="2" t="s">
        <v>17</v>
      </c>
      <c r="C10" s="25">
        <v>0.35416666666666669</v>
      </c>
      <c r="D10" s="26">
        <v>0.35416666666666669</v>
      </c>
      <c r="E10" s="26">
        <v>0.35416666666666669</v>
      </c>
      <c r="F10" s="27">
        <v>0.35416666666666669</v>
      </c>
      <c r="G10" s="25">
        <v>0.33333333333333331</v>
      </c>
      <c r="H10" s="26">
        <v>0.375</v>
      </c>
      <c r="I10" s="26">
        <v>0.375</v>
      </c>
      <c r="J10" s="26">
        <v>0.39583333333333331</v>
      </c>
      <c r="K10" s="26">
        <v>0.32291666666666669</v>
      </c>
      <c r="L10" s="27">
        <v>0.38541666666666669</v>
      </c>
    </row>
    <row r="11" spans="1:16" x14ac:dyDescent="0.25">
      <c r="B11" s="2" t="s">
        <v>18</v>
      </c>
      <c r="C11" s="25">
        <v>0.67708333333333337</v>
      </c>
      <c r="D11" s="26">
        <v>0.67708333333333337</v>
      </c>
      <c r="E11" s="26">
        <v>0.67708333333333337</v>
      </c>
      <c r="F11" s="27">
        <v>0.67708333333333337</v>
      </c>
      <c r="G11" s="25">
        <v>0.6875</v>
      </c>
      <c r="H11" s="26">
        <v>0.72916666666666663</v>
      </c>
      <c r="I11" s="26">
        <v>0.72916666666666663</v>
      </c>
      <c r="J11" s="26">
        <v>0.67708333333333337</v>
      </c>
      <c r="K11" s="26">
        <v>0.60416666666666663</v>
      </c>
      <c r="L11" s="27">
        <v>0.6875</v>
      </c>
    </row>
    <row r="12" spans="1:16" x14ac:dyDescent="0.25">
      <c r="B12" s="2" t="s">
        <v>19</v>
      </c>
      <c r="C12" s="28" t="s">
        <v>20</v>
      </c>
      <c r="D12" s="29" t="s">
        <v>20</v>
      </c>
      <c r="E12" s="29" t="s">
        <v>20</v>
      </c>
      <c r="F12" s="30" t="s">
        <v>20</v>
      </c>
      <c r="G12" s="28" t="s">
        <v>21</v>
      </c>
      <c r="H12" s="29" t="s">
        <v>22</v>
      </c>
      <c r="I12" s="29" t="s">
        <v>23</v>
      </c>
      <c r="J12" s="29" t="s">
        <v>27</v>
      </c>
      <c r="K12" s="29" t="s">
        <v>28</v>
      </c>
      <c r="L12" s="30" t="s">
        <v>29</v>
      </c>
    </row>
    <row r="13" spans="1:16" x14ac:dyDescent="0.25">
      <c r="B13" s="2" t="s">
        <v>30</v>
      </c>
      <c r="C13" s="31">
        <v>1</v>
      </c>
      <c r="D13" s="32">
        <v>0.25</v>
      </c>
      <c r="E13" s="32">
        <v>0.1</v>
      </c>
      <c r="F13" s="33">
        <v>0.25</v>
      </c>
      <c r="G13" s="31">
        <v>0.5</v>
      </c>
      <c r="H13" s="32">
        <v>0.5</v>
      </c>
      <c r="I13" s="32">
        <v>0.5</v>
      </c>
      <c r="J13" s="32">
        <v>0.1</v>
      </c>
      <c r="K13" s="32">
        <v>5</v>
      </c>
      <c r="L13" s="33">
        <v>1</v>
      </c>
    </row>
    <row r="14" spans="1:16" x14ac:dyDescent="0.25">
      <c r="B14" s="2" t="s">
        <v>35</v>
      </c>
      <c r="C14" s="34">
        <f>(C8-C9)/C13/C7</f>
        <v>4000</v>
      </c>
      <c r="D14" s="35">
        <f t="shared" ref="D14:L14" si="1">(D8-D9)/D13/D7</f>
        <v>4000</v>
      </c>
      <c r="E14" s="35">
        <f t="shared" si="1"/>
        <v>4000</v>
      </c>
      <c r="F14" s="36">
        <f t="shared" si="1"/>
        <v>4000</v>
      </c>
      <c r="G14" s="34">
        <f t="shared" si="1"/>
        <v>4000</v>
      </c>
      <c r="H14" s="35">
        <f t="shared" si="1"/>
        <v>4000</v>
      </c>
      <c r="I14" s="35">
        <f t="shared" si="1"/>
        <v>4000</v>
      </c>
      <c r="J14" s="35">
        <f t="shared" si="1"/>
        <v>4000</v>
      </c>
      <c r="K14" s="35">
        <f t="shared" si="1"/>
        <v>4000</v>
      </c>
      <c r="L14" s="36">
        <f t="shared" si="1"/>
        <v>8000</v>
      </c>
    </row>
    <row r="15" spans="1:16" x14ac:dyDescent="0.25">
      <c r="A15" s="16" t="s">
        <v>34</v>
      </c>
      <c r="B15" s="2" t="s">
        <v>32</v>
      </c>
      <c r="C15" s="55">
        <v>6.1476314922256101</v>
      </c>
      <c r="D15" s="56">
        <v>2.3265638192798761</v>
      </c>
      <c r="E15" s="56">
        <v>0.511364472754685</v>
      </c>
      <c r="F15" s="57">
        <v>0.67725466703585002</v>
      </c>
      <c r="G15" s="55">
        <v>2.7812370713209957</v>
      </c>
      <c r="H15" s="56">
        <v>3.4828793877340534</v>
      </c>
      <c r="I15" s="56">
        <v>2.6148220718248312</v>
      </c>
      <c r="J15" s="56">
        <v>0.45944413270244083</v>
      </c>
      <c r="K15" s="56">
        <v>11.520940766680676</v>
      </c>
      <c r="L15" s="57">
        <v>16.090335784806676</v>
      </c>
    </row>
    <row r="16" spans="1:16" x14ac:dyDescent="0.25">
      <c r="B16" s="2" t="s">
        <v>36</v>
      </c>
      <c r="C16" s="34">
        <f>(C8-C9)/C15/C7</f>
        <v>650.65708721455769</v>
      </c>
      <c r="D16" s="35">
        <f t="shared" ref="D16:L16" si="2">(D8-D9)/D15/D7</f>
        <v>429.81842651946789</v>
      </c>
      <c r="E16" s="35">
        <f t="shared" si="2"/>
        <v>782.22094281448165</v>
      </c>
      <c r="F16" s="36">
        <f t="shared" si="2"/>
        <v>1476.5494409609817</v>
      </c>
      <c r="G16" s="34">
        <f t="shared" si="2"/>
        <v>719.10446636254062</v>
      </c>
      <c r="H16" s="35">
        <f t="shared" si="2"/>
        <v>574.23751366285228</v>
      </c>
      <c r="I16" s="35">
        <f t="shared" si="2"/>
        <v>764.87039846816072</v>
      </c>
      <c r="J16" s="35">
        <f t="shared" si="2"/>
        <v>870.61727755060951</v>
      </c>
      <c r="K16" s="35">
        <f t="shared" si="2"/>
        <v>1735.9693453021932</v>
      </c>
      <c r="L16" s="36">
        <f t="shared" si="2"/>
        <v>497.19285582305946</v>
      </c>
    </row>
    <row r="17" spans="1:12" x14ac:dyDescent="0.25">
      <c r="B17" s="2" t="s">
        <v>38</v>
      </c>
      <c r="C17" s="37">
        <v>2000</v>
      </c>
      <c r="D17" s="38">
        <v>2000</v>
      </c>
      <c r="E17" s="38">
        <v>2000</v>
      </c>
      <c r="F17" s="39">
        <v>2000</v>
      </c>
      <c r="G17" s="37">
        <v>2000</v>
      </c>
      <c r="H17" s="38">
        <v>2000</v>
      </c>
      <c r="I17" s="38">
        <v>2000</v>
      </c>
      <c r="J17" s="38">
        <v>2000</v>
      </c>
      <c r="K17" s="38">
        <v>2000</v>
      </c>
      <c r="L17" s="39">
        <v>2000</v>
      </c>
    </row>
    <row r="18" spans="1:12" x14ac:dyDescent="0.25">
      <c r="A18" t="s">
        <v>39</v>
      </c>
      <c r="B18" s="2" t="s">
        <v>37</v>
      </c>
      <c r="C18" s="62">
        <f>(C8-C9)/C17/C7</f>
        <v>2</v>
      </c>
      <c r="D18" s="61">
        <f>(D8-D9)/D17/D7</f>
        <v>0.5</v>
      </c>
      <c r="E18" s="61">
        <f t="shared" ref="E18:L18" si="3">(E8-E9)/E17/E7</f>
        <v>0.2</v>
      </c>
      <c r="F18" s="63">
        <f t="shared" si="3"/>
        <v>0.5</v>
      </c>
      <c r="G18" s="62">
        <f t="shared" si="3"/>
        <v>1</v>
      </c>
      <c r="H18" s="61">
        <f t="shared" si="3"/>
        <v>1</v>
      </c>
      <c r="I18" s="61">
        <f t="shared" si="3"/>
        <v>1</v>
      </c>
      <c r="J18" s="61">
        <f t="shared" si="3"/>
        <v>0.2</v>
      </c>
      <c r="K18" s="61">
        <f t="shared" si="3"/>
        <v>10</v>
      </c>
      <c r="L18" s="63">
        <f t="shared" si="3"/>
        <v>4</v>
      </c>
    </row>
    <row r="19" spans="1:12" x14ac:dyDescent="0.25">
      <c r="B19" s="2" t="s">
        <v>33</v>
      </c>
      <c r="C19" s="40">
        <f>C18/C15</f>
        <v>0.32532854360727881</v>
      </c>
      <c r="D19" s="41">
        <f>D18/D15</f>
        <v>0.21490921325973394</v>
      </c>
      <c r="E19" s="41">
        <f>E18/E15</f>
        <v>0.39111047140724081</v>
      </c>
      <c r="F19" s="42">
        <f>F18/F15</f>
        <v>0.7382747204804907</v>
      </c>
      <c r="G19" s="40">
        <f t="shared" ref="G19:L19" si="4">G18/G15</f>
        <v>0.35955223318127033</v>
      </c>
      <c r="H19" s="41">
        <f t="shared" si="4"/>
        <v>0.28711875683142613</v>
      </c>
      <c r="I19" s="41">
        <f t="shared" si="4"/>
        <v>0.38243519923408031</v>
      </c>
      <c r="J19" s="41">
        <f>J18/J15</f>
        <v>0.43530863877530479</v>
      </c>
      <c r="K19" s="41">
        <f t="shared" si="4"/>
        <v>0.86798467265109658</v>
      </c>
      <c r="L19" s="42">
        <f t="shared" si="4"/>
        <v>0.24859642791152972</v>
      </c>
    </row>
    <row r="20" spans="1:12" x14ac:dyDescent="0.25">
      <c r="B20" s="2" t="s">
        <v>31</v>
      </c>
      <c r="C20" s="31">
        <f>C18/C13</f>
        <v>2</v>
      </c>
      <c r="D20" s="32">
        <f t="shared" ref="D20:K20" si="5">D18/D13</f>
        <v>2</v>
      </c>
      <c r="E20" s="32">
        <f t="shared" si="5"/>
        <v>2</v>
      </c>
      <c r="F20" s="33">
        <f t="shared" si="5"/>
        <v>2</v>
      </c>
      <c r="G20" s="31">
        <f t="shared" si="5"/>
        <v>2</v>
      </c>
      <c r="H20" s="32">
        <f t="shared" si="5"/>
        <v>2</v>
      </c>
      <c r="I20" s="32">
        <f t="shared" si="5"/>
        <v>2</v>
      </c>
      <c r="J20" s="32">
        <f t="shared" si="5"/>
        <v>2</v>
      </c>
      <c r="K20" s="32">
        <f t="shared" si="5"/>
        <v>2</v>
      </c>
      <c r="L20" s="33">
        <f>L18/L13</f>
        <v>4</v>
      </c>
    </row>
    <row r="21" spans="1:12" x14ac:dyDescent="0.25">
      <c r="A21" t="s">
        <v>47</v>
      </c>
      <c r="B21" s="2" t="s">
        <v>40</v>
      </c>
      <c r="C21" s="43">
        <v>493499</v>
      </c>
      <c r="D21" s="44">
        <v>480468</v>
      </c>
      <c r="E21" s="44">
        <v>670669</v>
      </c>
      <c r="F21" s="45">
        <v>1006199</v>
      </c>
      <c r="G21" s="43">
        <v>925333</v>
      </c>
      <c r="H21" s="44">
        <v>688886</v>
      </c>
      <c r="I21" s="44">
        <v>958848</v>
      </c>
      <c r="J21" s="44">
        <v>1209371</v>
      </c>
      <c r="K21" s="44">
        <v>1703286</v>
      </c>
      <c r="L21" s="45">
        <v>1025619</v>
      </c>
    </row>
    <row r="22" spans="1:12" x14ac:dyDescent="0.25">
      <c r="B22" s="2" t="s">
        <v>41</v>
      </c>
      <c r="C22" s="43">
        <v>2394542</v>
      </c>
      <c r="D22" s="44">
        <v>2683308</v>
      </c>
      <c r="E22" s="44">
        <v>2440922</v>
      </c>
      <c r="F22" s="45">
        <v>2865897</v>
      </c>
      <c r="G22" s="43">
        <v>3490977</v>
      </c>
      <c r="H22" s="44">
        <v>3695767</v>
      </c>
      <c r="I22" s="44">
        <v>3306021</v>
      </c>
      <c r="J22" s="44">
        <v>2630350</v>
      </c>
      <c r="K22" s="44">
        <v>2878874</v>
      </c>
      <c r="L22" s="45">
        <v>2572607</v>
      </c>
    </row>
    <row r="23" spans="1:12" x14ac:dyDescent="0.25">
      <c r="B23" s="2" t="s">
        <v>42</v>
      </c>
      <c r="C23" s="46">
        <f t="shared" ref="C23:K23" si="6">C21/C22</f>
        <v>0.20609327378680348</v>
      </c>
      <c r="D23" s="47">
        <f t="shared" si="6"/>
        <v>0.1790580880018246</v>
      </c>
      <c r="E23" s="47">
        <f t="shared" si="6"/>
        <v>0.27476052081959196</v>
      </c>
      <c r="F23" s="48">
        <f t="shared" si="6"/>
        <v>0.35109391579669474</v>
      </c>
      <c r="G23" s="46">
        <f t="shared" si="6"/>
        <v>0.26506419263146103</v>
      </c>
      <c r="H23" s="47">
        <f t="shared" si="6"/>
        <v>0.18639865554294954</v>
      </c>
      <c r="I23" s="47">
        <f t="shared" si="6"/>
        <v>0.29003082557551813</v>
      </c>
      <c r="J23" s="47">
        <f t="shared" si="6"/>
        <v>0.45977569524968159</v>
      </c>
      <c r="K23" s="47">
        <f t="shared" si="6"/>
        <v>0.59165006874215409</v>
      </c>
      <c r="L23" s="48">
        <f>L21/L22</f>
        <v>0.39866913212939248</v>
      </c>
    </row>
    <row r="24" spans="1:12" x14ac:dyDescent="0.25">
      <c r="A24" t="s">
        <v>43</v>
      </c>
      <c r="B24" s="2" t="s">
        <v>40</v>
      </c>
      <c r="C24" s="43">
        <v>161247</v>
      </c>
      <c r="D24" s="44">
        <v>153859</v>
      </c>
      <c r="E24" s="44">
        <v>236056</v>
      </c>
      <c r="F24" s="45">
        <v>378096</v>
      </c>
      <c r="G24" s="43">
        <v>303804</v>
      </c>
      <c r="H24" s="44">
        <v>220187</v>
      </c>
      <c r="I24" s="44">
        <v>312296</v>
      </c>
      <c r="J24" s="44">
        <v>425168</v>
      </c>
      <c r="K24" s="44">
        <v>799720</v>
      </c>
      <c r="L24" s="45">
        <v>663123</v>
      </c>
    </row>
    <row r="25" spans="1:12" x14ac:dyDescent="0.25">
      <c r="B25" s="2" t="s">
        <v>41</v>
      </c>
      <c r="C25" s="43">
        <v>2394533</v>
      </c>
      <c r="D25" s="44">
        <v>2683299</v>
      </c>
      <c r="E25" s="44">
        <v>2440913</v>
      </c>
      <c r="F25" s="45">
        <v>2865888</v>
      </c>
      <c r="G25" s="43">
        <v>3490968</v>
      </c>
      <c r="H25" s="44">
        <v>3695758</v>
      </c>
      <c r="I25" s="44">
        <v>3306012</v>
      </c>
      <c r="J25" s="44">
        <v>2630341</v>
      </c>
      <c r="K25" s="44">
        <v>2878865</v>
      </c>
      <c r="L25" s="45">
        <v>2572598</v>
      </c>
    </row>
    <row r="26" spans="1:12" x14ac:dyDescent="0.25">
      <c r="B26" s="2" t="s">
        <v>42</v>
      </c>
      <c r="C26" s="46">
        <f t="shared" ref="C26:K26" si="7">C24/C25</f>
        <v>6.7339644097617363E-2</v>
      </c>
      <c r="D26" s="47">
        <f t="shared" si="7"/>
        <v>5.7339491424548659E-2</v>
      </c>
      <c r="E26" s="47">
        <f t="shared" si="7"/>
        <v>9.670807603548344E-2</v>
      </c>
      <c r="F26" s="48">
        <f t="shared" si="7"/>
        <v>0.13192978930090779</v>
      </c>
      <c r="G26" s="46">
        <f t="shared" si="7"/>
        <v>8.7025718940992869E-2</v>
      </c>
      <c r="H26" s="47">
        <f t="shared" si="7"/>
        <v>5.9578305722398493E-2</v>
      </c>
      <c r="I26" s="47">
        <f t="shared" si="7"/>
        <v>9.446305700039806E-2</v>
      </c>
      <c r="J26" s="47">
        <f t="shared" si="7"/>
        <v>0.16163987863170592</v>
      </c>
      <c r="K26" s="47">
        <f t="shared" si="7"/>
        <v>0.27779003183546291</v>
      </c>
      <c r="L26" s="48">
        <f>L24/L25</f>
        <v>0.25776394135422637</v>
      </c>
    </row>
    <row r="27" spans="1:12" x14ac:dyDescent="0.25">
      <c r="A27" t="s">
        <v>44</v>
      </c>
      <c r="B27" s="2" t="s">
        <v>40</v>
      </c>
      <c r="C27" s="43">
        <v>46618</v>
      </c>
      <c r="D27" s="44">
        <v>45056</v>
      </c>
      <c r="E27" s="44">
        <v>53590</v>
      </c>
      <c r="F27" s="45">
        <v>114068</v>
      </c>
      <c r="G27" s="43">
        <v>85192</v>
      </c>
      <c r="H27" s="44">
        <v>65186</v>
      </c>
      <c r="I27" s="44">
        <v>90590</v>
      </c>
      <c r="J27" s="44">
        <v>121152</v>
      </c>
      <c r="K27" s="44">
        <v>213616</v>
      </c>
      <c r="L27" s="45">
        <v>119617</v>
      </c>
    </row>
    <row r="28" spans="1:12" x14ac:dyDescent="0.25">
      <c r="B28" s="2" t="s">
        <v>41</v>
      </c>
      <c r="C28" s="43">
        <v>2394443</v>
      </c>
      <c r="D28" s="44">
        <v>2683209</v>
      </c>
      <c r="E28" s="44">
        <v>2440823</v>
      </c>
      <c r="F28" s="45">
        <v>2865798</v>
      </c>
      <c r="G28" s="43">
        <v>3490878</v>
      </c>
      <c r="H28" s="44">
        <v>3695668</v>
      </c>
      <c r="I28" s="44">
        <v>3305922</v>
      </c>
      <c r="J28" s="44">
        <v>2630251</v>
      </c>
      <c r="K28" s="44">
        <v>2878775</v>
      </c>
      <c r="L28" s="45">
        <v>2572508</v>
      </c>
    </row>
    <row r="29" spans="1:12" x14ac:dyDescent="0.25">
      <c r="B29" s="2" t="s">
        <v>42</v>
      </c>
      <c r="C29" s="46">
        <f t="shared" ref="C29:K29" si="8">C27/C28</f>
        <v>1.946924608353592E-2</v>
      </c>
      <c r="D29" s="47">
        <f t="shared" si="8"/>
        <v>1.6791833957026828E-2</v>
      </c>
      <c r="E29" s="47">
        <f t="shared" si="8"/>
        <v>2.1955709201363638E-2</v>
      </c>
      <c r="F29" s="48">
        <f t="shared" si="8"/>
        <v>3.9803224093254305E-2</v>
      </c>
      <c r="G29" s="46">
        <f t="shared" si="8"/>
        <v>2.440417568302301E-2</v>
      </c>
      <c r="H29" s="47">
        <f t="shared" si="8"/>
        <v>1.7638489171646371E-2</v>
      </c>
      <c r="I29" s="47">
        <f t="shared" si="8"/>
        <v>2.7402340406095484E-2</v>
      </c>
      <c r="J29" s="47">
        <f t="shared" si="8"/>
        <v>4.6061003303487003E-2</v>
      </c>
      <c r="K29" s="47">
        <f t="shared" si="8"/>
        <v>7.4203784595878453E-2</v>
      </c>
      <c r="L29" s="48">
        <f>L27/L28</f>
        <v>4.6498203309766187E-2</v>
      </c>
    </row>
    <row r="30" spans="1:12" x14ac:dyDescent="0.25">
      <c r="A30" t="s">
        <v>45</v>
      </c>
      <c r="B30" s="2" t="s">
        <v>40</v>
      </c>
      <c r="C30" s="43">
        <v>10646</v>
      </c>
      <c r="D30" s="44">
        <v>10005</v>
      </c>
      <c r="E30" s="44">
        <v>13406</v>
      </c>
      <c r="F30" s="45">
        <v>26888</v>
      </c>
      <c r="G30" s="43">
        <v>20411</v>
      </c>
      <c r="H30" s="44">
        <v>13383</v>
      </c>
      <c r="I30" s="44">
        <v>21568</v>
      </c>
      <c r="J30" s="44">
        <v>27229</v>
      </c>
      <c r="K30" s="44">
        <v>41747</v>
      </c>
      <c r="L30" s="45">
        <v>11901</v>
      </c>
    </row>
    <row r="31" spans="1:12" x14ac:dyDescent="0.25">
      <c r="B31" s="2" t="s">
        <v>41</v>
      </c>
      <c r="C31" s="43">
        <v>2393543</v>
      </c>
      <c r="D31" s="44">
        <v>2682309</v>
      </c>
      <c r="E31" s="44">
        <v>2439923</v>
      </c>
      <c r="F31" s="45">
        <v>2864898</v>
      </c>
      <c r="G31" s="43">
        <v>3489978</v>
      </c>
      <c r="H31" s="44">
        <v>3694768</v>
      </c>
      <c r="I31" s="44">
        <v>3305022</v>
      </c>
      <c r="J31" s="44">
        <v>2629351</v>
      </c>
      <c r="K31" s="44">
        <v>2877875</v>
      </c>
      <c r="L31" s="45">
        <v>2571608</v>
      </c>
    </row>
    <row r="32" spans="1:12" x14ac:dyDescent="0.25">
      <c r="B32" s="2" t="s">
        <v>42</v>
      </c>
      <c r="C32" s="46">
        <f t="shared" ref="C32:K32" si="9">C30/C31</f>
        <v>4.4477997679590467E-3</v>
      </c>
      <c r="D32" s="47">
        <f t="shared" si="9"/>
        <v>3.7299953137390211E-3</v>
      </c>
      <c r="E32" s="47">
        <f t="shared" si="9"/>
        <v>5.4944356850605532E-3</v>
      </c>
      <c r="F32" s="48">
        <f t="shared" si="9"/>
        <v>9.3853254112362811E-3</v>
      </c>
      <c r="G32" s="46">
        <f t="shared" si="9"/>
        <v>5.8484609358569022E-3</v>
      </c>
      <c r="H32" s="47">
        <f t="shared" si="9"/>
        <v>3.6221489414220323E-3</v>
      </c>
      <c r="I32" s="47">
        <f t="shared" si="9"/>
        <v>6.5258264544078674E-3</v>
      </c>
      <c r="J32" s="47">
        <f t="shared" si="9"/>
        <v>1.0355787416742764E-2</v>
      </c>
      <c r="K32" s="47">
        <f t="shared" si="9"/>
        <v>1.4506189462711202E-2</v>
      </c>
      <c r="L32" s="48">
        <f>L30/L31</f>
        <v>4.6278437460141666E-3</v>
      </c>
    </row>
    <row r="33" spans="1:12" x14ac:dyDescent="0.25">
      <c r="A33" t="s">
        <v>46</v>
      </c>
      <c r="B33" s="2" t="s">
        <v>40</v>
      </c>
      <c r="C33" s="43">
        <v>2922</v>
      </c>
      <c r="D33" s="44">
        <v>2644</v>
      </c>
      <c r="E33" s="44">
        <v>3534</v>
      </c>
      <c r="F33" s="45">
        <v>6773</v>
      </c>
      <c r="G33" s="43">
        <v>6188</v>
      </c>
      <c r="H33" s="44">
        <v>3575</v>
      </c>
      <c r="I33" s="44">
        <v>6180</v>
      </c>
      <c r="J33" s="44">
        <v>6324</v>
      </c>
      <c r="K33" s="44">
        <v>10741</v>
      </c>
      <c r="L33" s="45">
        <v>3185</v>
      </c>
    </row>
    <row r="34" spans="1:12" x14ac:dyDescent="0.25">
      <c r="B34" s="2" t="s">
        <v>41</v>
      </c>
      <c r="C34" s="43">
        <v>2384543</v>
      </c>
      <c r="D34" s="44">
        <v>2673309</v>
      </c>
      <c r="E34" s="44">
        <v>2430923</v>
      </c>
      <c r="F34" s="45">
        <v>2855898</v>
      </c>
      <c r="G34" s="43">
        <v>3480978</v>
      </c>
      <c r="H34" s="44">
        <v>3685768</v>
      </c>
      <c r="I34" s="44">
        <v>3296022</v>
      </c>
      <c r="J34" s="44">
        <v>2620351</v>
      </c>
      <c r="K34" s="44">
        <v>2868875</v>
      </c>
      <c r="L34" s="45">
        <v>2562608</v>
      </c>
    </row>
    <row r="35" spans="1:12" ht="15.75" thickBot="1" x14ac:dyDescent="0.3">
      <c r="B35" s="2" t="s">
        <v>42</v>
      </c>
      <c r="C35" s="49">
        <f t="shared" ref="C35:K35" si="10">C33/C34</f>
        <v>1.2253920352872647E-3</v>
      </c>
      <c r="D35" s="50">
        <f t="shared" si="10"/>
        <v>9.8903643387277711E-4</v>
      </c>
      <c r="E35" s="50">
        <f t="shared" si="10"/>
        <v>1.4537687948157963E-3</v>
      </c>
      <c r="F35" s="51">
        <f t="shared" si="10"/>
        <v>2.371583298843306E-3</v>
      </c>
      <c r="G35" s="49">
        <f t="shared" si="10"/>
        <v>1.7776613354063139E-3</v>
      </c>
      <c r="H35" s="50">
        <f t="shared" si="10"/>
        <v>9.6994710464684704E-4</v>
      </c>
      <c r="I35" s="50">
        <f t="shared" si="10"/>
        <v>1.8749874849136323E-3</v>
      </c>
      <c r="J35" s="50">
        <f t="shared" si="10"/>
        <v>2.4134171338114625E-3</v>
      </c>
      <c r="K35" s="50">
        <f t="shared" si="10"/>
        <v>3.7439762973290923E-3</v>
      </c>
      <c r="L35" s="51">
        <f>L33/L34</f>
        <v>1.2428744466574677E-3</v>
      </c>
    </row>
    <row r="36" spans="1:12" ht="15.75" thickBot="1" x14ac:dyDescent="0.3"/>
    <row r="37" spans="1:12" ht="15.75" thickBot="1" x14ac:dyDescent="0.3">
      <c r="A37" t="s">
        <v>15</v>
      </c>
      <c r="B37" s="16">
        <v>0.1</v>
      </c>
      <c r="C37" s="58">
        <f>MAX(ROUND(C15*$B$37/C13,0)*C13,C13)*C17*C7</f>
        <v>2000</v>
      </c>
      <c r="D37" s="59">
        <f>MAX(ROUND(D15*$B$37/D13,0)*D13,D13)*D17*D7</f>
        <v>50000</v>
      </c>
      <c r="E37" s="59">
        <f>MAX(ROUND(E15*$B$37/E13,0)*E13,E13)*E17*E7</f>
        <v>2000</v>
      </c>
      <c r="F37" s="59">
        <f>MAX(ROUND(F15*$B$37/F13,0)*F13,F13)*F17*F7</f>
        <v>50000</v>
      </c>
      <c r="G37" s="59">
        <f>MAX(ROUND(G15*$B$37/G13,0)*G13,G13)*G17*G7</f>
        <v>10000</v>
      </c>
      <c r="H37" s="59">
        <f>MAX(ROUND(H15*$B$37/H13,0)*H13,H13)*H17*H7</f>
        <v>10000</v>
      </c>
      <c r="I37" s="59">
        <f>MAX(ROUND(I15*$B$37/I13,0)*I13,I13)*I17*I7</f>
        <v>10000</v>
      </c>
      <c r="J37" s="59">
        <f>MAX(ROUND(J15*$B$37/J13,0)*J13,J13)*J17*J7</f>
        <v>2000</v>
      </c>
      <c r="K37" s="59">
        <f>MAX(ROUND(K15*$B$37/K13,0)*K13,K13)*K17*K7</f>
        <v>10000</v>
      </c>
      <c r="L37" s="60">
        <f>MAX(ROUND(L15*$B$37/L13,0)*L13,L13)*L17*L7</f>
        <v>4000</v>
      </c>
    </row>
    <row r="38" spans="1:12" x14ac:dyDescent="0.25">
      <c r="B38" s="1" t="s">
        <v>37</v>
      </c>
      <c r="C38" s="92">
        <f>(C37+C37)/C17</f>
        <v>2</v>
      </c>
      <c r="D38" s="92">
        <f>(D37+D37)/D17</f>
        <v>50</v>
      </c>
      <c r="E38" s="92">
        <f>(E37+E37)/E17</f>
        <v>2</v>
      </c>
      <c r="F38" s="92">
        <f>(F37+F37)/F17</f>
        <v>50</v>
      </c>
      <c r="G38" s="92">
        <f>(G37+G37)/G17</f>
        <v>10</v>
      </c>
      <c r="H38" s="92">
        <f>(H37+H37)/H17</f>
        <v>10</v>
      </c>
      <c r="I38" s="92">
        <f>(I37+I37)/I17</f>
        <v>10</v>
      </c>
      <c r="J38" s="92">
        <f>(J37+J37)/J17</f>
        <v>2</v>
      </c>
      <c r="K38" s="92">
        <f>(K37+K37)/K17</f>
        <v>10</v>
      </c>
      <c r="L38" s="92">
        <f>(L37+L37)/L17</f>
        <v>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45F9-08DC-48DE-8B68-D42EF0322A32}">
  <dimension ref="A1:P38"/>
  <sheetViews>
    <sheetView topLeftCell="A10" zoomScale="110" zoomScaleNormal="110" workbookViewId="0">
      <selection activeCell="A37" sqref="A37:L38"/>
    </sheetView>
  </sheetViews>
  <sheetFormatPr defaultRowHeight="15" x14ac:dyDescent="0.25"/>
  <cols>
    <col min="1" max="1" width="11.42578125" bestFit="1" customWidth="1"/>
    <col min="2" max="2" width="21" bestFit="1" customWidth="1"/>
    <col min="3" max="3" width="9.85546875" bestFit="1" customWidth="1"/>
    <col min="4" max="4" width="10.85546875" bestFit="1" customWidth="1"/>
    <col min="5" max="10" width="9.85546875" bestFit="1" customWidth="1"/>
    <col min="11" max="11" width="10" bestFit="1" customWidth="1"/>
    <col min="12" max="12" width="10.42578125" bestFit="1" customWidth="1"/>
    <col min="14" max="14" width="14" bestFit="1" customWidth="1"/>
  </cols>
  <sheetData>
    <row r="1" spans="1:16" x14ac:dyDescent="0.25"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</row>
    <row r="2" spans="1:16" ht="15.75" thickBot="1" x14ac:dyDescent="0.3">
      <c r="C2" s="1" t="s">
        <v>0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12</v>
      </c>
      <c r="L2" s="1" t="s">
        <v>10</v>
      </c>
      <c r="N2" s="1" t="s">
        <v>24</v>
      </c>
      <c r="O2" s="1" t="s">
        <v>25</v>
      </c>
      <c r="P2" s="1" t="s">
        <v>26</v>
      </c>
    </row>
    <row r="3" spans="1:16" x14ac:dyDescent="0.25">
      <c r="B3" s="1" t="s">
        <v>13</v>
      </c>
      <c r="C3" s="13">
        <v>2001</v>
      </c>
      <c r="D3" s="14">
        <v>2001</v>
      </c>
      <c r="E3" s="14">
        <v>2001</v>
      </c>
      <c r="F3" s="15">
        <v>2001</v>
      </c>
      <c r="G3" s="13">
        <v>2001</v>
      </c>
      <c r="H3" s="14">
        <v>2001</v>
      </c>
      <c r="I3" s="14">
        <v>2001</v>
      </c>
      <c r="J3" s="14">
        <v>2001</v>
      </c>
      <c r="K3" s="14">
        <v>2001</v>
      </c>
      <c r="L3" s="15">
        <v>2001</v>
      </c>
    </row>
    <row r="4" spans="1:16" x14ac:dyDescent="0.25">
      <c r="B4" s="1" t="s">
        <v>1</v>
      </c>
      <c r="C4" s="9">
        <v>1.7128462411604763</v>
      </c>
      <c r="D4" s="6">
        <v>1.7608989611255226</v>
      </c>
      <c r="E4" s="6">
        <v>1.512335699511129</v>
      </c>
      <c r="F4" s="3">
        <v>1.7767389162449847</v>
      </c>
      <c r="G4" s="9">
        <v>1.7007732019317074</v>
      </c>
      <c r="H4" s="6">
        <v>1.706797239506201</v>
      </c>
      <c r="I4" s="6">
        <v>1.7301703954717618</v>
      </c>
      <c r="J4" s="6">
        <v>1.6352847994450475</v>
      </c>
      <c r="K4" s="6">
        <v>1.4925627895636289</v>
      </c>
      <c r="L4" s="3">
        <v>1.0987412145387245</v>
      </c>
      <c r="N4" s="12">
        <f>AVERAGE(C4:F4,J4)</f>
        <v>1.679620923497432</v>
      </c>
      <c r="O4" s="12">
        <f>AVERAGE(G4:I4)</f>
        <v>1.7125802789698898</v>
      </c>
      <c r="P4" s="12">
        <f>AVERAGE(K4:L4)</f>
        <v>1.2956520020511766</v>
      </c>
    </row>
    <row r="5" spans="1:16" x14ac:dyDescent="0.25">
      <c r="B5" s="1" t="s">
        <v>11</v>
      </c>
      <c r="C5" s="10">
        <v>3.5413268158757822</v>
      </c>
      <c r="D5" s="7">
        <v>0.46792876181236615</v>
      </c>
      <c r="E5" s="7">
        <v>4.1542614180434916E-2</v>
      </c>
      <c r="F5" s="4">
        <v>0.104431510132585</v>
      </c>
      <c r="G5" s="10">
        <v>0.6848496479455044</v>
      </c>
      <c r="H5" s="7">
        <v>1.2729941216437182</v>
      </c>
      <c r="I5" s="7">
        <v>0.61353710323852406</v>
      </c>
      <c r="J5" s="7">
        <v>1.5992415439704286E-2</v>
      </c>
      <c r="K5" s="7">
        <v>2.5261703596429728</v>
      </c>
      <c r="L5" s="4">
        <v>0.49481285661466051</v>
      </c>
      <c r="M5" s="1" t="s">
        <v>48</v>
      </c>
      <c r="N5" s="19">
        <f>STDEV(C4:F4,J4)</f>
        <v>0.10850343739938981</v>
      </c>
      <c r="O5" s="19">
        <f>STDEV(G4:I4)</f>
        <v>1.5528406424575312E-2</v>
      </c>
      <c r="P5" s="19">
        <f>STDEV(K4:L4)</f>
        <v>0.27847390627767782</v>
      </c>
    </row>
    <row r="6" spans="1:16" ht="15.75" thickBot="1" x14ac:dyDescent="0.3">
      <c r="B6" s="1" t="s">
        <v>2</v>
      </c>
      <c r="C6" s="11">
        <v>0.99611765810328878</v>
      </c>
      <c r="D6" s="8">
        <v>0.99697184525420735</v>
      </c>
      <c r="E6" s="8">
        <v>0.99839795815429755</v>
      </c>
      <c r="F6" s="5">
        <v>0.99639624175721486</v>
      </c>
      <c r="G6" s="11">
        <v>0.99782158466821469</v>
      </c>
      <c r="H6" s="8">
        <v>0.99333994989916052</v>
      </c>
      <c r="I6" s="8">
        <v>0.996672359932541</v>
      </c>
      <c r="J6" s="8">
        <v>0.99385076257595584</v>
      </c>
      <c r="K6" s="8">
        <v>0.98736199029559757</v>
      </c>
      <c r="L6" s="5">
        <v>0.9593443650504504</v>
      </c>
      <c r="N6" s="12">
        <f>AVERAGE(C6:F6,J6)</f>
        <v>0.99634689316899272</v>
      </c>
      <c r="O6" s="12">
        <f>AVERAGE(G6:I6)</f>
        <v>0.99594463149997203</v>
      </c>
      <c r="P6" s="12">
        <f>AVERAGE(K6:L6)</f>
        <v>0.97335317767302398</v>
      </c>
    </row>
    <row r="7" spans="1:16" x14ac:dyDescent="0.25">
      <c r="B7" s="2" t="s">
        <v>14</v>
      </c>
      <c r="C7" s="20">
        <v>1</v>
      </c>
      <c r="D7" s="21">
        <v>100</v>
      </c>
      <c r="E7" s="21">
        <v>10</v>
      </c>
      <c r="F7" s="22">
        <v>100</v>
      </c>
      <c r="G7" s="20">
        <v>10</v>
      </c>
      <c r="H7" s="21">
        <v>10</v>
      </c>
      <c r="I7" s="21">
        <v>10</v>
      </c>
      <c r="J7" s="21">
        <v>10</v>
      </c>
      <c r="K7" s="14">
        <v>1</v>
      </c>
      <c r="L7" s="22">
        <v>1</v>
      </c>
    </row>
    <row r="8" spans="1:16" x14ac:dyDescent="0.25">
      <c r="B8" s="2" t="s">
        <v>15</v>
      </c>
      <c r="C8" s="23">
        <v>2000</v>
      </c>
      <c r="D8" s="18">
        <v>100000</v>
      </c>
      <c r="E8" s="18">
        <v>2000</v>
      </c>
      <c r="F8" s="24">
        <v>50000</v>
      </c>
      <c r="G8" s="23">
        <v>10000</v>
      </c>
      <c r="H8" s="18">
        <v>10000</v>
      </c>
      <c r="I8" s="18">
        <v>10000</v>
      </c>
      <c r="J8" s="18">
        <v>2000</v>
      </c>
      <c r="K8" s="18">
        <v>10000</v>
      </c>
      <c r="L8" s="24">
        <v>6000</v>
      </c>
    </row>
    <row r="9" spans="1:16" x14ac:dyDescent="0.25">
      <c r="B9" s="2" t="s">
        <v>16</v>
      </c>
      <c r="C9" s="23">
        <f>-C8</f>
        <v>-2000</v>
      </c>
      <c r="D9" s="18">
        <f t="shared" ref="D9:L9" si="0">-D8</f>
        <v>-100000</v>
      </c>
      <c r="E9" s="18">
        <f t="shared" si="0"/>
        <v>-2000</v>
      </c>
      <c r="F9" s="24">
        <f t="shared" si="0"/>
        <v>-50000</v>
      </c>
      <c r="G9" s="52">
        <f t="shared" si="0"/>
        <v>-10000</v>
      </c>
      <c r="H9" s="53">
        <f t="shared" si="0"/>
        <v>-10000</v>
      </c>
      <c r="I9" s="53">
        <f t="shared" si="0"/>
        <v>-10000</v>
      </c>
      <c r="J9" s="53">
        <f t="shared" si="0"/>
        <v>-2000</v>
      </c>
      <c r="K9" s="53">
        <f t="shared" si="0"/>
        <v>-10000</v>
      </c>
      <c r="L9" s="54">
        <f t="shared" si="0"/>
        <v>-6000</v>
      </c>
    </row>
    <row r="10" spans="1:16" x14ac:dyDescent="0.25">
      <c r="B10" s="2" t="s">
        <v>17</v>
      </c>
      <c r="C10" s="25">
        <v>0.35416666666666669</v>
      </c>
      <c r="D10" s="26">
        <v>0.35416666666666669</v>
      </c>
      <c r="E10" s="26">
        <v>0.35416666666666669</v>
      </c>
      <c r="F10" s="27">
        <v>0.35416666666666669</v>
      </c>
      <c r="G10" s="25">
        <v>0.33333333333333331</v>
      </c>
      <c r="H10" s="26">
        <v>0.375</v>
      </c>
      <c r="I10" s="26">
        <v>0.375</v>
      </c>
      <c r="J10" s="26">
        <v>0.39583333333333331</v>
      </c>
      <c r="K10" s="26">
        <v>0.32291666666666669</v>
      </c>
      <c r="L10" s="27">
        <v>0.38541666666666669</v>
      </c>
    </row>
    <row r="11" spans="1:16" x14ac:dyDescent="0.25">
      <c r="B11" s="2" t="s">
        <v>18</v>
      </c>
      <c r="C11" s="25">
        <v>0.67708333333333337</v>
      </c>
      <c r="D11" s="26">
        <v>0.67708333333333337</v>
      </c>
      <c r="E11" s="26">
        <v>0.67708333333333337</v>
      </c>
      <c r="F11" s="27">
        <v>0.67708333333333337</v>
      </c>
      <c r="G11" s="25">
        <v>0.6875</v>
      </c>
      <c r="H11" s="26">
        <v>0.72916666666666663</v>
      </c>
      <c r="I11" s="26">
        <v>0.72916666666666663</v>
      </c>
      <c r="J11" s="26">
        <v>0.67708333333333337</v>
      </c>
      <c r="K11" s="26">
        <v>0.60416666666666663</v>
      </c>
      <c r="L11" s="27">
        <v>0.6875</v>
      </c>
    </row>
    <row r="12" spans="1:16" x14ac:dyDescent="0.25">
      <c r="B12" s="2" t="s">
        <v>19</v>
      </c>
      <c r="C12" s="28" t="s">
        <v>20</v>
      </c>
      <c r="D12" s="29" t="s">
        <v>20</v>
      </c>
      <c r="E12" s="29" t="s">
        <v>20</v>
      </c>
      <c r="F12" s="30" t="s">
        <v>20</v>
      </c>
      <c r="G12" s="28" t="s">
        <v>21</v>
      </c>
      <c r="H12" s="29" t="s">
        <v>22</v>
      </c>
      <c r="I12" s="29" t="s">
        <v>23</v>
      </c>
      <c r="J12" s="29" t="s">
        <v>27</v>
      </c>
      <c r="K12" s="29" t="s">
        <v>28</v>
      </c>
      <c r="L12" s="30" t="s">
        <v>29</v>
      </c>
    </row>
    <row r="13" spans="1:16" x14ac:dyDescent="0.25">
      <c r="B13" s="2" t="s">
        <v>30</v>
      </c>
      <c r="C13" s="31">
        <v>1</v>
      </c>
      <c r="D13" s="32">
        <v>0.25</v>
      </c>
      <c r="E13" s="32">
        <v>0.1</v>
      </c>
      <c r="F13" s="33">
        <v>0.25</v>
      </c>
      <c r="G13" s="31">
        <v>0.5</v>
      </c>
      <c r="H13" s="32">
        <v>0.5</v>
      </c>
      <c r="I13" s="32">
        <v>0.5</v>
      </c>
      <c r="J13" s="32">
        <v>0.1</v>
      </c>
      <c r="K13" s="32">
        <v>5</v>
      </c>
      <c r="L13" s="33">
        <v>1</v>
      </c>
    </row>
    <row r="14" spans="1:16" x14ac:dyDescent="0.25">
      <c r="B14" s="2" t="s">
        <v>35</v>
      </c>
      <c r="C14" s="34">
        <f>(C8-C9)/C13/C7</f>
        <v>4000</v>
      </c>
      <c r="D14" s="35">
        <f t="shared" ref="D14:L14" si="1">(D8-D9)/D13/D7</f>
        <v>8000</v>
      </c>
      <c r="E14" s="35">
        <f t="shared" si="1"/>
        <v>4000</v>
      </c>
      <c r="F14" s="36">
        <f t="shared" si="1"/>
        <v>4000</v>
      </c>
      <c r="G14" s="34">
        <f t="shared" si="1"/>
        <v>4000</v>
      </c>
      <c r="H14" s="35">
        <f t="shared" si="1"/>
        <v>4000</v>
      </c>
      <c r="I14" s="35">
        <f t="shared" si="1"/>
        <v>4000</v>
      </c>
      <c r="J14" s="35">
        <f t="shared" si="1"/>
        <v>4000</v>
      </c>
      <c r="K14" s="35">
        <f t="shared" si="1"/>
        <v>4000</v>
      </c>
      <c r="L14" s="36">
        <f t="shared" si="1"/>
        <v>12000</v>
      </c>
    </row>
    <row r="15" spans="1:16" x14ac:dyDescent="0.25">
      <c r="A15" s="16" t="s">
        <v>34</v>
      </c>
      <c r="B15" s="2" t="s">
        <v>32</v>
      </c>
      <c r="C15" s="55">
        <v>6.1476314922256101</v>
      </c>
      <c r="D15" s="56">
        <v>2.3265638192798761</v>
      </c>
      <c r="E15" s="56">
        <v>0.511364472754685</v>
      </c>
      <c r="F15" s="57">
        <v>0.67725466703585002</v>
      </c>
      <c r="G15" s="55">
        <v>2.7812370713209957</v>
      </c>
      <c r="H15" s="56">
        <v>3.4828793877340534</v>
      </c>
      <c r="I15" s="56">
        <v>2.6148220718248312</v>
      </c>
      <c r="J15" s="56">
        <v>0.45944413270244083</v>
      </c>
      <c r="K15" s="56">
        <v>11.520940766680676</v>
      </c>
      <c r="L15" s="57">
        <v>16.090335784806676</v>
      </c>
    </row>
    <row r="16" spans="1:16" x14ac:dyDescent="0.25">
      <c r="B16" s="2" t="s">
        <v>36</v>
      </c>
      <c r="C16" s="34">
        <f>(C8-C9)/C15/C7</f>
        <v>650.65708721455769</v>
      </c>
      <c r="D16" s="35">
        <f t="shared" ref="D16:L16" si="2">(D8-D9)/D15/D7</f>
        <v>859.63685303893578</v>
      </c>
      <c r="E16" s="35">
        <f t="shared" si="2"/>
        <v>782.22094281448165</v>
      </c>
      <c r="F16" s="36">
        <f t="shared" si="2"/>
        <v>1476.5494409609817</v>
      </c>
      <c r="G16" s="34">
        <f t="shared" si="2"/>
        <v>719.10446636254062</v>
      </c>
      <c r="H16" s="35">
        <f t="shared" si="2"/>
        <v>574.23751366285228</v>
      </c>
      <c r="I16" s="35">
        <f t="shared" si="2"/>
        <v>764.87039846816072</v>
      </c>
      <c r="J16" s="35">
        <f t="shared" si="2"/>
        <v>870.61727755060951</v>
      </c>
      <c r="K16" s="35">
        <f t="shared" si="2"/>
        <v>1735.9693453021932</v>
      </c>
      <c r="L16" s="36">
        <f t="shared" si="2"/>
        <v>745.78928373458916</v>
      </c>
    </row>
    <row r="17" spans="1:12" x14ac:dyDescent="0.25">
      <c r="B17" s="2" t="s">
        <v>38</v>
      </c>
      <c r="C17" s="37">
        <v>2000</v>
      </c>
      <c r="D17" s="38">
        <v>2000</v>
      </c>
      <c r="E17" s="38">
        <v>2000</v>
      </c>
      <c r="F17" s="39">
        <v>2000</v>
      </c>
      <c r="G17" s="37">
        <v>2000</v>
      </c>
      <c r="H17" s="38">
        <v>2000</v>
      </c>
      <c r="I17" s="38">
        <v>2000</v>
      </c>
      <c r="J17" s="38">
        <v>2000</v>
      </c>
      <c r="K17" s="38">
        <v>2000</v>
      </c>
      <c r="L17" s="39">
        <v>2000</v>
      </c>
    </row>
    <row r="18" spans="1:12" x14ac:dyDescent="0.25">
      <c r="A18" t="s">
        <v>39</v>
      </c>
      <c r="B18" s="2" t="s">
        <v>37</v>
      </c>
      <c r="C18" s="62">
        <f>(C8-C9)/C17/C7</f>
        <v>2</v>
      </c>
      <c r="D18" s="61">
        <f>(D8-D9)/D17/D7</f>
        <v>1</v>
      </c>
      <c r="E18" s="61">
        <f t="shared" ref="E18:L18" si="3">(E8-E9)/E17/E7</f>
        <v>0.2</v>
      </c>
      <c r="F18" s="63">
        <f t="shared" si="3"/>
        <v>0.5</v>
      </c>
      <c r="G18" s="62">
        <f t="shared" si="3"/>
        <v>1</v>
      </c>
      <c r="H18" s="61">
        <f t="shared" si="3"/>
        <v>1</v>
      </c>
      <c r="I18" s="61">
        <f t="shared" si="3"/>
        <v>1</v>
      </c>
      <c r="J18" s="61">
        <f t="shared" si="3"/>
        <v>0.2</v>
      </c>
      <c r="K18" s="61">
        <f t="shared" si="3"/>
        <v>10</v>
      </c>
      <c r="L18" s="63">
        <f t="shared" si="3"/>
        <v>6</v>
      </c>
    </row>
    <row r="19" spans="1:12" x14ac:dyDescent="0.25">
      <c r="B19" s="2" t="s">
        <v>33</v>
      </c>
      <c r="C19" s="40">
        <f>C18/C15</f>
        <v>0.32532854360727881</v>
      </c>
      <c r="D19" s="41">
        <f>D18/D15</f>
        <v>0.42981842651946789</v>
      </c>
      <c r="E19" s="41">
        <f>E18/E15</f>
        <v>0.39111047140724081</v>
      </c>
      <c r="F19" s="42">
        <f>F18/F15</f>
        <v>0.7382747204804907</v>
      </c>
      <c r="G19" s="40">
        <f t="shared" ref="G19:I19" si="4">G18/G15</f>
        <v>0.35955223318127033</v>
      </c>
      <c r="H19" s="41">
        <f t="shared" si="4"/>
        <v>0.28711875683142613</v>
      </c>
      <c r="I19" s="41">
        <f t="shared" si="4"/>
        <v>0.38243519923408031</v>
      </c>
      <c r="J19" s="41">
        <f>J18/J15</f>
        <v>0.43530863877530479</v>
      </c>
      <c r="K19" s="41">
        <f t="shared" ref="K19" si="5">K18/K15</f>
        <v>0.86798467265109658</v>
      </c>
      <c r="L19" s="42">
        <f t="shared" ref="L19" si="6">L18/L15</f>
        <v>0.3728946418672946</v>
      </c>
    </row>
    <row r="20" spans="1:12" x14ac:dyDescent="0.25">
      <c r="B20" s="2" t="s">
        <v>31</v>
      </c>
      <c r="C20" s="31">
        <f>C18/C13</f>
        <v>2</v>
      </c>
      <c r="D20" s="32">
        <f t="shared" ref="D20:K20" si="7">D18/D13</f>
        <v>4</v>
      </c>
      <c r="E20" s="32">
        <f t="shared" si="7"/>
        <v>2</v>
      </c>
      <c r="F20" s="33">
        <f t="shared" si="7"/>
        <v>2</v>
      </c>
      <c r="G20" s="31">
        <f t="shared" si="7"/>
        <v>2</v>
      </c>
      <c r="H20" s="32">
        <f t="shared" si="7"/>
        <v>2</v>
      </c>
      <c r="I20" s="32">
        <f t="shared" si="7"/>
        <v>2</v>
      </c>
      <c r="J20" s="32">
        <f t="shared" si="7"/>
        <v>2</v>
      </c>
      <c r="K20" s="32">
        <f t="shared" si="7"/>
        <v>2</v>
      </c>
      <c r="L20" s="33">
        <f>L18/L13</f>
        <v>6</v>
      </c>
    </row>
    <row r="21" spans="1:12" x14ac:dyDescent="0.25">
      <c r="A21" t="s">
        <v>47</v>
      </c>
      <c r="B21" s="2" t="s">
        <v>40</v>
      </c>
      <c r="C21" s="43">
        <v>493499</v>
      </c>
      <c r="D21" s="44">
        <v>863889</v>
      </c>
      <c r="E21" s="44">
        <v>670669</v>
      </c>
      <c r="F21" s="45">
        <v>1006199</v>
      </c>
      <c r="G21" s="43">
        <v>925333</v>
      </c>
      <c r="H21" s="44">
        <v>688886</v>
      </c>
      <c r="I21" s="44">
        <v>958848</v>
      </c>
      <c r="J21" s="44">
        <v>1209371</v>
      </c>
      <c r="K21" s="44">
        <v>1703286</v>
      </c>
      <c r="L21" s="45">
        <v>1221612</v>
      </c>
    </row>
    <row r="22" spans="1:12" x14ac:dyDescent="0.25">
      <c r="B22" s="2" t="s">
        <v>41</v>
      </c>
      <c r="C22" s="43">
        <v>2394542</v>
      </c>
      <c r="D22" s="44">
        <v>2683308</v>
      </c>
      <c r="E22" s="44">
        <v>2440922</v>
      </c>
      <c r="F22" s="45">
        <v>2865897</v>
      </c>
      <c r="G22" s="43">
        <v>3490977</v>
      </c>
      <c r="H22" s="44">
        <v>3695767</v>
      </c>
      <c r="I22" s="44">
        <v>3306021</v>
      </c>
      <c r="J22" s="44">
        <v>2630350</v>
      </c>
      <c r="K22" s="44">
        <v>2878874</v>
      </c>
      <c r="L22" s="45">
        <v>2572607</v>
      </c>
    </row>
    <row r="23" spans="1:12" x14ac:dyDescent="0.25">
      <c r="B23" s="2" t="s">
        <v>42</v>
      </c>
      <c r="C23" s="46">
        <f t="shared" ref="C23" si="8">C21/C22</f>
        <v>0.20609327378680348</v>
      </c>
      <c r="D23" s="47">
        <f t="shared" ref="D23:K23" si="9">D21/D22</f>
        <v>0.32194925070100039</v>
      </c>
      <c r="E23" s="47">
        <f t="shared" si="9"/>
        <v>0.27476052081959196</v>
      </c>
      <c r="F23" s="48">
        <f t="shared" si="9"/>
        <v>0.35109391579669474</v>
      </c>
      <c r="G23" s="46">
        <f t="shared" si="9"/>
        <v>0.26506419263146103</v>
      </c>
      <c r="H23" s="47">
        <f t="shared" si="9"/>
        <v>0.18639865554294954</v>
      </c>
      <c r="I23" s="47">
        <f t="shared" si="9"/>
        <v>0.29003082557551813</v>
      </c>
      <c r="J23" s="47">
        <f t="shared" si="9"/>
        <v>0.45977569524968159</v>
      </c>
      <c r="K23" s="47">
        <f t="shared" si="9"/>
        <v>0.59165006874215409</v>
      </c>
      <c r="L23" s="48">
        <f>L21/L22</f>
        <v>0.47485371842648333</v>
      </c>
    </row>
    <row r="24" spans="1:12" x14ac:dyDescent="0.25">
      <c r="A24" t="s">
        <v>43</v>
      </c>
      <c r="B24" s="2" t="s">
        <v>40</v>
      </c>
      <c r="C24" s="43">
        <v>161247</v>
      </c>
      <c r="D24" s="44">
        <v>302487</v>
      </c>
      <c r="E24" s="44">
        <v>236056</v>
      </c>
      <c r="F24" s="45">
        <v>378096</v>
      </c>
      <c r="G24" s="43">
        <v>303804</v>
      </c>
      <c r="H24" s="44">
        <v>220187</v>
      </c>
      <c r="I24" s="44">
        <v>312296</v>
      </c>
      <c r="J24" s="44">
        <v>425168</v>
      </c>
      <c r="K24" s="44">
        <v>799720</v>
      </c>
      <c r="L24" s="45">
        <v>737875</v>
      </c>
    </row>
    <row r="25" spans="1:12" x14ac:dyDescent="0.25">
      <c r="B25" s="2" t="s">
        <v>41</v>
      </c>
      <c r="C25" s="43">
        <v>2394533</v>
      </c>
      <c r="D25" s="44">
        <v>2683299</v>
      </c>
      <c r="E25" s="44">
        <v>2440913</v>
      </c>
      <c r="F25" s="45">
        <v>2865888</v>
      </c>
      <c r="G25" s="43">
        <v>3490968</v>
      </c>
      <c r="H25" s="44">
        <v>3695758</v>
      </c>
      <c r="I25" s="44">
        <v>3306012</v>
      </c>
      <c r="J25" s="44">
        <v>2630341</v>
      </c>
      <c r="K25" s="44">
        <v>2878865</v>
      </c>
      <c r="L25" s="45">
        <v>2572598</v>
      </c>
    </row>
    <row r="26" spans="1:12" x14ac:dyDescent="0.25">
      <c r="B26" s="2" t="s">
        <v>42</v>
      </c>
      <c r="C26" s="46">
        <f t="shared" ref="C26" si="10">C24/C25</f>
        <v>6.7339644097617363E-2</v>
      </c>
      <c r="D26" s="47">
        <f t="shared" ref="D26:K26" si="11">D24/D25</f>
        <v>0.11272951691183129</v>
      </c>
      <c r="E26" s="47">
        <f t="shared" si="11"/>
        <v>9.670807603548344E-2</v>
      </c>
      <c r="F26" s="48">
        <f t="shared" si="11"/>
        <v>0.13192978930090779</v>
      </c>
      <c r="G26" s="46">
        <f t="shared" si="11"/>
        <v>8.7025718940992869E-2</v>
      </c>
      <c r="H26" s="47">
        <f t="shared" si="11"/>
        <v>5.9578305722398493E-2</v>
      </c>
      <c r="I26" s="47">
        <f t="shared" si="11"/>
        <v>9.446305700039806E-2</v>
      </c>
      <c r="J26" s="47">
        <f t="shared" si="11"/>
        <v>0.16163987863170592</v>
      </c>
      <c r="K26" s="47">
        <f t="shared" si="11"/>
        <v>0.27779003183546291</v>
      </c>
      <c r="L26" s="48">
        <f>L24/L25</f>
        <v>0.28682094909503936</v>
      </c>
    </row>
    <row r="27" spans="1:12" x14ac:dyDescent="0.25">
      <c r="A27" t="s">
        <v>44</v>
      </c>
      <c r="B27" s="2" t="s">
        <v>40</v>
      </c>
      <c r="C27" s="43">
        <v>46618</v>
      </c>
      <c r="D27" s="44">
        <v>89584</v>
      </c>
      <c r="E27" s="44">
        <v>53590</v>
      </c>
      <c r="F27" s="45">
        <v>114068</v>
      </c>
      <c r="G27" s="43">
        <v>85192</v>
      </c>
      <c r="H27" s="44">
        <v>65186</v>
      </c>
      <c r="I27" s="44">
        <v>90590</v>
      </c>
      <c r="J27" s="44">
        <v>121152</v>
      </c>
      <c r="K27" s="44">
        <v>213616</v>
      </c>
      <c r="L27" s="45">
        <v>153747</v>
      </c>
    </row>
    <row r="28" spans="1:12" x14ac:dyDescent="0.25">
      <c r="B28" s="2" t="s">
        <v>41</v>
      </c>
      <c r="C28" s="43">
        <v>2394443</v>
      </c>
      <c r="D28" s="44">
        <v>2683209</v>
      </c>
      <c r="E28" s="44">
        <v>2440823</v>
      </c>
      <c r="F28" s="45">
        <v>2865798</v>
      </c>
      <c r="G28" s="43">
        <v>3490878</v>
      </c>
      <c r="H28" s="44">
        <v>3695668</v>
      </c>
      <c r="I28" s="44">
        <v>3305922</v>
      </c>
      <c r="J28" s="44">
        <v>2630251</v>
      </c>
      <c r="K28" s="44">
        <v>2878775</v>
      </c>
      <c r="L28" s="45">
        <v>2572508</v>
      </c>
    </row>
    <row r="29" spans="1:12" x14ac:dyDescent="0.25">
      <c r="B29" s="2" t="s">
        <v>42</v>
      </c>
      <c r="C29" s="46">
        <f t="shared" ref="C29" si="12">C27/C28</f>
        <v>1.946924608353592E-2</v>
      </c>
      <c r="D29" s="47">
        <f t="shared" ref="D29:K29" si="13">D27/D28</f>
        <v>3.3386888609869748E-2</v>
      </c>
      <c r="E29" s="47">
        <f t="shared" si="13"/>
        <v>2.1955709201363638E-2</v>
      </c>
      <c r="F29" s="48">
        <f t="shared" si="13"/>
        <v>3.9803224093254305E-2</v>
      </c>
      <c r="G29" s="46">
        <f t="shared" si="13"/>
        <v>2.440417568302301E-2</v>
      </c>
      <c r="H29" s="47">
        <f t="shared" si="13"/>
        <v>1.7638489171646371E-2</v>
      </c>
      <c r="I29" s="47">
        <f t="shared" si="13"/>
        <v>2.7402340406095484E-2</v>
      </c>
      <c r="J29" s="47">
        <f t="shared" si="13"/>
        <v>4.6061003303487003E-2</v>
      </c>
      <c r="K29" s="47">
        <f t="shared" si="13"/>
        <v>7.4203784595878453E-2</v>
      </c>
      <c r="L29" s="48">
        <f>L27/L28</f>
        <v>5.9765411808243164E-2</v>
      </c>
    </row>
    <row r="30" spans="1:12" x14ac:dyDescent="0.25">
      <c r="A30" t="s">
        <v>45</v>
      </c>
      <c r="B30" s="2" t="s">
        <v>40</v>
      </c>
      <c r="C30" s="43">
        <v>10646</v>
      </c>
      <c r="D30" s="44">
        <v>19821</v>
      </c>
      <c r="E30" s="44">
        <v>13406</v>
      </c>
      <c r="F30" s="45">
        <v>26888</v>
      </c>
      <c r="G30" s="43">
        <v>20411</v>
      </c>
      <c r="H30" s="44">
        <v>13383</v>
      </c>
      <c r="I30" s="44">
        <v>21568</v>
      </c>
      <c r="J30" s="44">
        <v>27229</v>
      </c>
      <c r="K30" s="44">
        <v>41747</v>
      </c>
      <c r="L30" s="45">
        <v>17683</v>
      </c>
    </row>
    <row r="31" spans="1:12" x14ac:dyDescent="0.25">
      <c r="B31" s="2" t="s">
        <v>41</v>
      </c>
      <c r="C31" s="43">
        <v>2393543</v>
      </c>
      <c r="D31" s="44">
        <v>2682309</v>
      </c>
      <c r="E31" s="44">
        <v>2439923</v>
      </c>
      <c r="F31" s="45">
        <v>2864898</v>
      </c>
      <c r="G31" s="43">
        <v>3489978</v>
      </c>
      <c r="H31" s="44">
        <v>3694768</v>
      </c>
      <c r="I31" s="44">
        <v>3305022</v>
      </c>
      <c r="J31" s="44">
        <v>2629351</v>
      </c>
      <c r="K31" s="44">
        <v>2877875</v>
      </c>
      <c r="L31" s="45">
        <v>2571608</v>
      </c>
    </row>
    <row r="32" spans="1:12" x14ac:dyDescent="0.25">
      <c r="B32" s="2" t="s">
        <v>42</v>
      </c>
      <c r="C32" s="46">
        <f t="shared" ref="C32" si="14">C30/C31</f>
        <v>4.4477997679590467E-3</v>
      </c>
      <c r="D32" s="47">
        <f t="shared" ref="D32:K32" si="15">D30/D31</f>
        <v>7.3895289468886693E-3</v>
      </c>
      <c r="E32" s="47">
        <f t="shared" si="15"/>
        <v>5.4944356850605532E-3</v>
      </c>
      <c r="F32" s="48">
        <f t="shared" si="15"/>
        <v>9.3853254112362811E-3</v>
      </c>
      <c r="G32" s="46">
        <f t="shared" si="15"/>
        <v>5.8484609358569022E-3</v>
      </c>
      <c r="H32" s="47">
        <f t="shared" si="15"/>
        <v>3.6221489414220323E-3</v>
      </c>
      <c r="I32" s="47">
        <f t="shared" si="15"/>
        <v>6.5258264544078674E-3</v>
      </c>
      <c r="J32" s="47">
        <f t="shared" si="15"/>
        <v>1.0355787416742764E-2</v>
      </c>
      <c r="K32" s="47">
        <f t="shared" si="15"/>
        <v>1.4506189462711202E-2</v>
      </c>
      <c r="L32" s="48">
        <f>L30/L31</f>
        <v>6.8762424133071605E-3</v>
      </c>
    </row>
    <row r="33" spans="1:12" x14ac:dyDescent="0.25">
      <c r="A33" t="s">
        <v>46</v>
      </c>
      <c r="B33" s="2" t="s">
        <v>40</v>
      </c>
      <c r="C33" s="43">
        <v>2922</v>
      </c>
      <c r="D33" s="44">
        <v>5301</v>
      </c>
      <c r="E33" s="44">
        <v>3534</v>
      </c>
      <c r="F33" s="45">
        <v>6773</v>
      </c>
      <c r="G33" s="43">
        <v>6188</v>
      </c>
      <c r="H33" s="44">
        <v>3575</v>
      </c>
      <c r="I33" s="44">
        <v>6180</v>
      </c>
      <c r="J33" s="44">
        <v>6324</v>
      </c>
      <c r="K33" s="44">
        <v>10741</v>
      </c>
      <c r="L33" s="45">
        <v>4744</v>
      </c>
    </row>
    <row r="34" spans="1:12" x14ac:dyDescent="0.25">
      <c r="B34" s="2" t="s">
        <v>41</v>
      </c>
      <c r="C34" s="43">
        <v>2384543</v>
      </c>
      <c r="D34" s="44">
        <v>2673309</v>
      </c>
      <c r="E34" s="44">
        <v>2430923</v>
      </c>
      <c r="F34" s="45">
        <v>2855898</v>
      </c>
      <c r="G34" s="43">
        <v>3480978</v>
      </c>
      <c r="H34" s="44">
        <v>3685768</v>
      </c>
      <c r="I34" s="44">
        <v>3296022</v>
      </c>
      <c r="J34" s="44">
        <v>2620351</v>
      </c>
      <c r="K34" s="44">
        <v>2868875</v>
      </c>
      <c r="L34" s="45">
        <v>2562608</v>
      </c>
    </row>
    <row r="35" spans="1:12" ht="15.75" thickBot="1" x14ac:dyDescent="0.3">
      <c r="B35" s="2" t="s">
        <v>42</v>
      </c>
      <c r="C35" s="49">
        <f t="shared" ref="C35" si="16">C33/C34</f>
        <v>1.2253920352872647E-3</v>
      </c>
      <c r="D35" s="50">
        <f t="shared" ref="D35:K35" si="17">D33/D34</f>
        <v>1.9829357549015097E-3</v>
      </c>
      <c r="E35" s="50">
        <f t="shared" si="17"/>
        <v>1.4537687948157963E-3</v>
      </c>
      <c r="F35" s="51">
        <f t="shared" si="17"/>
        <v>2.371583298843306E-3</v>
      </c>
      <c r="G35" s="49">
        <f t="shared" si="17"/>
        <v>1.7776613354063139E-3</v>
      </c>
      <c r="H35" s="50">
        <f t="shared" si="17"/>
        <v>9.6994710464684704E-4</v>
      </c>
      <c r="I35" s="50">
        <f t="shared" si="17"/>
        <v>1.8749874849136323E-3</v>
      </c>
      <c r="J35" s="50">
        <f t="shared" si="17"/>
        <v>2.4134171338114625E-3</v>
      </c>
      <c r="K35" s="50">
        <f t="shared" si="17"/>
        <v>3.7439762973290923E-3</v>
      </c>
      <c r="L35" s="51">
        <f>L33/L34</f>
        <v>1.8512390502175909E-3</v>
      </c>
    </row>
    <row r="36" spans="1:12" ht="15.75" thickBot="1" x14ac:dyDescent="0.3"/>
    <row r="37" spans="1:12" ht="15.75" thickBot="1" x14ac:dyDescent="0.3">
      <c r="A37" t="s">
        <v>15</v>
      </c>
      <c r="B37" s="16">
        <v>0.1</v>
      </c>
      <c r="C37" s="58">
        <f>MAX(ROUND(C15*$B$37/C13,0)*C13,C13)*C17*C7</f>
        <v>2000</v>
      </c>
      <c r="D37" s="59">
        <f>MAX(ROUND(D15*$B$37/D13,0)*D13,D13)*D17*D7</f>
        <v>50000</v>
      </c>
      <c r="E37" s="59">
        <f>MAX(ROUND(E15*$B$37/E13,0)*E13,E13)*E17*E7</f>
        <v>2000</v>
      </c>
      <c r="F37" s="59">
        <f>MAX(ROUND(F15*$B$37/F13,0)*F13,F13)*F17*F7</f>
        <v>50000</v>
      </c>
      <c r="G37" s="59">
        <f>MAX(ROUND(G15*$B$37/G13,0)*G13,G13)*G17*G7</f>
        <v>10000</v>
      </c>
      <c r="H37" s="59">
        <f>MAX(ROUND(H15*$B$37/H13,0)*H13,H13)*H17*H7</f>
        <v>10000</v>
      </c>
      <c r="I37" s="59">
        <f>MAX(ROUND(I15*$B$37/I13,0)*I13,I13)*I17*I7</f>
        <v>10000</v>
      </c>
      <c r="J37" s="59">
        <f>MAX(ROUND(J15*$B$37/J13,0)*J13,J13)*J17*J7</f>
        <v>2000</v>
      </c>
      <c r="K37" s="59">
        <f>MAX(ROUND(K15*$B$37/K13,0)*K13,K13)*K17*K7</f>
        <v>10000</v>
      </c>
      <c r="L37" s="60">
        <f>MAX(ROUND(L15*$B$37/L13,0)*L13,L13)*L17*L7</f>
        <v>4000</v>
      </c>
    </row>
    <row r="38" spans="1:12" x14ac:dyDescent="0.25">
      <c r="B38" s="1" t="s">
        <v>37</v>
      </c>
      <c r="C38" s="92">
        <f>(C37+C37)/C17</f>
        <v>2</v>
      </c>
      <c r="D38" s="92">
        <f>(D37+D37)/D17</f>
        <v>50</v>
      </c>
      <c r="E38" s="92">
        <f>(E37+E37)/E17</f>
        <v>2</v>
      </c>
      <c r="F38" s="92">
        <f>(F37+F37)/F17</f>
        <v>50</v>
      </c>
      <c r="G38" s="92">
        <f>(G37+G37)/G17</f>
        <v>10</v>
      </c>
      <c r="H38" s="92">
        <f>(H37+H37)/H17</f>
        <v>10</v>
      </c>
      <c r="I38" s="92">
        <f>(I37+I37)/I17</f>
        <v>10</v>
      </c>
      <c r="J38" s="92">
        <f>(J37+J37)/J17</f>
        <v>2</v>
      </c>
      <c r="K38" s="92">
        <f>(K37+K37)/K17</f>
        <v>10</v>
      </c>
      <c r="L38" s="92">
        <f>(L37+L37)/L17</f>
        <v>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5CF2B-122C-4D42-B187-1ABDD973CE70}">
  <dimension ref="A1:P38"/>
  <sheetViews>
    <sheetView topLeftCell="A10" zoomScale="110" zoomScaleNormal="110" workbookViewId="0">
      <selection activeCell="A37" sqref="A37:L38"/>
    </sheetView>
  </sheetViews>
  <sheetFormatPr defaultRowHeight="15" x14ac:dyDescent="0.25"/>
  <cols>
    <col min="1" max="1" width="11.42578125" bestFit="1" customWidth="1"/>
    <col min="2" max="2" width="21" bestFit="1" customWidth="1"/>
    <col min="3" max="3" width="9.85546875" bestFit="1" customWidth="1"/>
    <col min="4" max="4" width="10.85546875" bestFit="1" customWidth="1"/>
    <col min="5" max="10" width="9.85546875" bestFit="1" customWidth="1"/>
    <col min="11" max="11" width="10" bestFit="1" customWidth="1"/>
    <col min="12" max="12" width="10.42578125" bestFit="1" customWidth="1"/>
    <col min="14" max="14" width="14" bestFit="1" customWidth="1"/>
  </cols>
  <sheetData>
    <row r="1" spans="1:16" x14ac:dyDescent="0.25"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</row>
    <row r="2" spans="1:16" ht="15.75" thickBot="1" x14ac:dyDescent="0.3">
      <c r="C2" s="1" t="s">
        <v>0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12</v>
      </c>
      <c r="L2" s="1" t="s">
        <v>10</v>
      </c>
      <c r="N2" s="1" t="s">
        <v>24</v>
      </c>
      <c r="O2" s="1" t="s">
        <v>25</v>
      </c>
      <c r="P2" s="1" t="s">
        <v>26</v>
      </c>
    </row>
    <row r="3" spans="1:16" x14ac:dyDescent="0.25">
      <c r="B3" s="1" t="s">
        <v>13</v>
      </c>
      <c r="C3" s="13">
        <v>2001</v>
      </c>
      <c r="D3" s="14">
        <v>2001</v>
      </c>
      <c r="E3" s="14">
        <v>2001</v>
      </c>
      <c r="F3" s="15">
        <v>2001</v>
      </c>
      <c r="G3" s="13">
        <v>2001</v>
      </c>
      <c r="H3" s="14">
        <v>2001</v>
      </c>
      <c r="I3" s="14">
        <v>2001</v>
      </c>
      <c r="J3" s="14">
        <v>2001</v>
      </c>
      <c r="K3" s="14">
        <v>2001</v>
      </c>
      <c r="L3" s="15">
        <v>2001</v>
      </c>
    </row>
    <row r="4" spans="1:16" x14ac:dyDescent="0.25">
      <c r="B4" s="1" t="s">
        <v>1</v>
      </c>
      <c r="C4" s="9">
        <v>1.723765426471729</v>
      </c>
      <c r="D4" s="6">
        <v>1.7699201923833283</v>
      </c>
      <c r="E4" s="6">
        <v>1.5686432596663444</v>
      </c>
      <c r="F4" s="3">
        <v>1.7767389162449847</v>
      </c>
      <c r="G4" s="9">
        <v>1.7295412740195937</v>
      </c>
      <c r="H4" s="6">
        <v>1.7196248640666179</v>
      </c>
      <c r="I4" s="6">
        <v>1.7467702318197416</v>
      </c>
      <c r="J4" s="6">
        <v>1.6352847994450475</v>
      </c>
      <c r="K4" s="6">
        <v>1.4925627895636289</v>
      </c>
      <c r="L4" s="3">
        <v>1.2606693477159894</v>
      </c>
      <c r="N4" s="12">
        <f>AVERAGE(C4:F4,J4)</f>
        <v>1.6948705188422868</v>
      </c>
      <c r="O4" s="12">
        <f>AVERAGE(G4:I4)</f>
        <v>1.7319787899686512</v>
      </c>
      <c r="P4" s="12">
        <f>AVERAGE(K4:L4)</f>
        <v>1.3766160686398092</v>
      </c>
    </row>
    <row r="5" spans="1:16" x14ac:dyDescent="0.25">
      <c r="B5" s="1" t="s">
        <v>11</v>
      </c>
      <c r="C5" s="10">
        <v>3.7039008362286552</v>
      </c>
      <c r="D5" s="7">
        <v>0.47843924872885973</v>
      </c>
      <c r="E5" s="7">
        <v>5.6125831698334516E-2</v>
      </c>
      <c r="F5" s="4">
        <v>0.104431510132585</v>
      </c>
      <c r="G5" s="10">
        <v>0.75368683328411124</v>
      </c>
      <c r="H5" s="7">
        <v>1.3309195699061747</v>
      </c>
      <c r="I5" s="7">
        <v>0.64707567308978742</v>
      </c>
      <c r="J5" s="7">
        <v>1.5992415439704286E-2</v>
      </c>
      <c r="K5" s="7">
        <v>2.5261703596429728</v>
      </c>
      <c r="L5" s="4">
        <v>0.99776716580281</v>
      </c>
      <c r="M5" s="1" t="s">
        <v>48</v>
      </c>
      <c r="N5" s="19">
        <f>STDEV(C4:F4,J4)</f>
        <v>9.0351511600490181E-2</v>
      </c>
      <c r="O5" s="19">
        <f>STDEV(G4:I4)</f>
        <v>1.3735860388578278E-2</v>
      </c>
      <c r="P5" s="19">
        <f>STDEV(K4:L4)</f>
        <v>0.1639734252431542</v>
      </c>
    </row>
    <row r="6" spans="1:16" ht="15.75" thickBot="1" x14ac:dyDescent="0.3">
      <c r="B6" s="1" t="s">
        <v>2</v>
      </c>
      <c r="C6" s="11">
        <v>0.99615799766956958</v>
      </c>
      <c r="D6" s="8">
        <v>0.99654531927559786</v>
      </c>
      <c r="E6" s="8">
        <v>0.9986569024041535</v>
      </c>
      <c r="F6" s="5">
        <v>0.99639624175721486</v>
      </c>
      <c r="G6" s="11">
        <v>0.99758331877800577</v>
      </c>
      <c r="H6" s="8">
        <v>0.99304195268993922</v>
      </c>
      <c r="I6" s="8">
        <v>0.9961781200620542</v>
      </c>
      <c r="J6" s="8">
        <v>0.99385076257595584</v>
      </c>
      <c r="K6" s="8">
        <v>0.98736199029559757</v>
      </c>
      <c r="L6" s="5">
        <v>0.96585200018566364</v>
      </c>
      <c r="N6" s="12">
        <f>AVERAGE(C6:F6,J6)</f>
        <v>0.99632144473649831</v>
      </c>
      <c r="O6" s="12">
        <f>AVERAGE(G6:I6)</f>
        <v>0.99560113050999977</v>
      </c>
      <c r="P6" s="12">
        <f>AVERAGE(K6:L6)</f>
        <v>0.97660699524063066</v>
      </c>
    </row>
    <row r="7" spans="1:16" x14ac:dyDescent="0.25">
      <c r="B7" s="2" t="s">
        <v>14</v>
      </c>
      <c r="C7" s="20">
        <v>1</v>
      </c>
      <c r="D7" s="21">
        <v>100</v>
      </c>
      <c r="E7" s="21">
        <v>10</v>
      </c>
      <c r="F7" s="22">
        <v>100</v>
      </c>
      <c r="G7" s="20">
        <v>10</v>
      </c>
      <c r="H7" s="21">
        <v>10</v>
      </c>
      <c r="I7" s="21">
        <v>10</v>
      </c>
      <c r="J7" s="21">
        <v>10</v>
      </c>
      <c r="K7" s="14">
        <v>1</v>
      </c>
      <c r="L7" s="22">
        <v>1</v>
      </c>
    </row>
    <row r="8" spans="1:16" x14ac:dyDescent="0.25">
      <c r="B8" s="2" t="s">
        <v>15</v>
      </c>
      <c r="C8" s="23">
        <v>4000</v>
      </c>
      <c r="D8" s="18">
        <v>150000</v>
      </c>
      <c r="E8" s="18">
        <v>4000</v>
      </c>
      <c r="F8" s="24">
        <v>50000</v>
      </c>
      <c r="G8" s="23">
        <v>20000</v>
      </c>
      <c r="H8" s="18">
        <v>20000</v>
      </c>
      <c r="I8" s="18">
        <v>20000</v>
      </c>
      <c r="J8" s="18">
        <v>2000</v>
      </c>
      <c r="K8" s="18">
        <v>10000</v>
      </c>
      <c r="L8" s="24">
        <v>10000</v>
      </c>
    </row>
    <row r="9" spans="1:16" x14ac:dyDescent="0.25">
      <c r="B9" s="2" t="s">
        <v>16</v>
      </c>
      <c r="C9" s="23">
        <f>-C8</f>
        <v>-4000</v>
      </c>
      <c r="D9" s="18">
        <f t="shared" ref="D9:L9" si="0">-D8</f>
        <v>-150000</v>
      </c>
      <c r="E9" s="18">
        <f t="shared" si="0"/>
        <v>-4000</v>
      </c>
      <c r="F9" s="24">
        <f t="shared" si="0"/>
        <v>-50000</v>
      </c>
      <c r="G9" s="52">
        <f t="shared" si="0"/>
        <v>-20000</v>
      </c>
      <c r="H9" s="53">
        <f t="shared" si="0"/>
        <v>-20000</v>
      </c>
      <c r="I9" s="53">
        <f t="shared" si="0"/>
        <v>-20000</v>
      </c>
      <c r="J9" s="53">
        <f t="shared" si="0"/>
        <v>-2000</v>
      </c>
      <c r="K9" s="53">
        <f t="shared" si="0"/>
        <v>-10000</v>
      </c>
      <c r="L9" s="54">
        <f t="shared" si="0"/>
        <v>-10000</v>
      </c>
    </row>
    <row r="10" spans="1:16" x14ac:dyDescent="0.25">
      <c r="B10" s="2" t="s">
        <v>17</v>
      </c>
      <c r="C10" s="25">
        <v>0.35416666666666669</v>
      </c>
      <c r="D10" s="26">
        <v>0.35416666666666669</v>
      </c>
      <c r="E10" s="26">
        <v>0.35416666666666669</v>
      </c>
      <c r="F10" s="27">
        <v>0.35416666666666669</v>
      </c>
      <c r="G10" s="25">
        <v>0.33333333333333331</v>
      </c>
      <c r="H10" s="26">
        <v>0.375</v>
      </c>
      <c r="I10" s="26">
        <v>0.375</v>
      </c>
      <c r="J10" s="26">
        <v>0.39583333333333331</v>
      </c>
      <c r="K10" s="26">
        <v>0.32291666666666669</v>
      </c>
      <c r="L10" s="27">
        <v>0.38541666666666669</v>
      </c>
    </row>
    <row r="11" spans="1:16" x14ac:dyDescent="0.25">
      <c r="B11" s="2" t="s">
        <v>18</v>
      </c>
      <c r="C11" s="25">
        <v>0.67708333333333337</v>
      </c>
      <c r="D11" s="26">
        <v>0.67708333333333337</v>
      </c>
      <c r="E11" s="26">
        <v>0.67708333333333337</v>
      </c>
      <c r="F11" s="27">
        <v>0.67708333333333337</v>
      </c>
      <c r="G11" s="25">
        <v>0.6875</v>
      </c>
      <c r="H11" s="26">
        <v>0.72916666666666663</v>
      </c>
      <c r="I11" s="26">
        <v>0.72916666666666663</v>
      </c>
      <c r="J11" s="26">
        <v>0.67708333333333337</v>
      </c>
      <c r="K11" s="26">
        <v>0.60416666666666663</v>
      </c>
      <c r="L11" s="27">
        <v>0.6875</v>
      </c>
    </row>
    <row r="12" spans="1:16" x14ac:dyDescent="0.25">
      <c r="B12" s="2" t="s">
        <v>19</v>
      </c>
      <c r="C12" s="28" t="s">
        <v>20</v>
      </c>
      <c r="D12" s="29" t="s">
        <v>20</v>
      </c>
      <c r="E12" s="29" t="s">
        <v>20</v>
      </c>
      <c r="F12" s="30" t="s">
        <v>20</v>
      </c>
      <c r="G12" s="28" t="s">
        <v>21</v>
      </c>
      <c r="H12" s="29" t="s">
        <v>22</v>
      </c>
      <c r="I12" s="29" t="s">
        <v>23</v>
      </c>
      <c r="J12" s="29" t="s">
        <v>27</v>
      </c>
      <c r="K12" s="29" t="s">
        <v>28</v>
      </c>
      <c r="L12" s="30" t="s">
        <v>29</v>
      </c>
    </row>
    <row r="13" spans="1:16" x14ac:dyDescent="0.25">
      <c r="B13" s="2" t="s">
        <v>30</v>
      </c>
      <c r="C13" s="31">
        <v>1</v>
      </c>
      <c r="D13" s="32">
        <v>0.25</v>
      </c>
      <c r="E13" s="32">
        <v>0.1</v>
      </c>
      <c r="F13" s="33">
        <v>0.25</v>
      </c>
      <c r="G13" s="31">
        <v>0.5</v>
      </c>
      <c r="H13" s="32">
        <v>0.5</v>
      </c>
      <c r="I13" s="32">
        <v>0.5</v>
      </c>
      <c r="J13" s="32">
        <v>0.1</v>
      </c>
      <c r="K13" s="32">
        <v>5</v>
      </c>
      <c r="L13" s="33">
        <v>1</v>
      </c>
    </row>
    <row r="14" spans="1:16" x14ac:dyDescent="0.25">
      <c r="B14" s="2" t="s">
        <v>35</v>
      </c>
      <c r="C14" s="34">
        <f>(C8-C9)/C13/C7</f>
        <v>8000</v>
      </c>
      <c r="D14" s="35">
        <f t="shared" ref="D14:L14" si="1">(D8-D9)/D13/D7</f>
        <v>12000</v>
      </c>
      <c r="E14" s="35">
        <f t="shared" si="1"/>
        <v>8000</v>
      </c>
      <c r="F14" s="36">
        <f t="shared" si="1"/>
        <v>4000</v>
      </c>
      <c r="G14" s="34">
        <f t="shared" si="1"/>
        <v>8000</v>
      </c>
      <c r="H14" s="35">
        <f t="shared" si="1"/>
        <v>8000</v>
      </c>
      <c r="I14" s="35">
        <f t="shared" si="1"/>
        <v>8000</v>
      </c>
      <c r="J14" s="35">
        <f t="shared" si="1"/>
        <v>4000</v>
      </c>
      <c r="K14" s="35">
        <f t="shared" si="1"/>
        <v>4000</v>
      </c>
      <c r="L14" s="36">
        <f t="shared" si="1"/>
        <v>20000</v>
      </c>
    </row>
    <row r="15" spans="1:16" x14ac:dyDescent="0.25">
      <c r="A15" s="16" t="s">
        <v>34</v>
      </c>
      <c r="B15" s="2" t="s">
        <v>32</v>
      </c>
      <c r="C15" s="55">
        <v>6.1476314922256101</v>
      </c>
      <c r="D15" s="56">
        <v>2.3265638192798761</v>
      </c>
      <c r="E15" s="56">
        <v>0.511364472754685</v>
      </c>
      <c r="F15" s="57">
        <v>0.67725466703585002</v>
      </c>
      <c r="G15" s="55">
        <v>2.7812370713209957</v>
      </c>
      <c r="H15" s="56">
        <v>3.4828793877340534</v>
      </c>
      <c r="I15" s="56">
        <v>2.6148220718248312</v>
      </c>
      <c r="J15" s="56">
        <v>0.45944413270244083</v>
      </c>
      <c r="K15" s="56">
        <v>11.520940766680676</v>
      </c>
      <c r="L15" s="57">
        <v>16.090335784806676</v>
      </c>
    </row>
    <row r="16" spans="1:16" x14ac:dyDescent="0.25">
      <c r="B16" s="2" t="s">
        <v>36</v>
      </c>
      <c r="C16" s="34">
        <f>(C8-C9)/C15/C7</f>
        <v>1301.3141744291154</v>
      </c>
      <c r="D16" s="35">
        <f t="shared" ref="D16:L16" si="2">(D8-D9)/D15/D7</f>
        <v>1289.4552795584036</v>
      </c>
      <c r="E16" s="35">
        <f t="shared" si="2"/>
        <v>1564.4418856289633</v>
      </c>
      <c r="F16" s="36">
        <f t="shared" si="2"/>
        <v>1476.5494409609817</v>
      </c>
      <c r="G16" s="34">
        <f t="shared" si="2"/>
        <v>1438.2089327250812</v>
      </c>
      <c r="H16" s="35">
        <f t="shared" si="2"/>
        <v>1148.4750273257046</v>
      </c>
      <c r="I16" s="35">
        <f t="shared" si="2"/>
        <v>1529.7407969363214</v>
      </c>
      <c r="J16" s="35">
        <f t="shared" si="2"/>
        <v>870.61727755060951</v>
      </c>
      <c r="K16" s="35">
        <f t="shared" si="2"/>
        <v>1735.9693453021932</v>
      </c>
      <c r="L16" s="36">
        <f t="shared" si="2"/>
        <v>1242.9821395576487</v>
      </c>
    </row>
    <row r="17" spans="1:12" x14ac:dyDescent="0.25">
      <c r="B17" s="2" t="s">
        <v>38</v>
      </c>
      <c r="C17" s="37">
        <v>2000</v>
      </c>
      <c r="D17" s="38">
        <v>2000</v>
      </c>
      <c r="E17" s="38">
        <v>2000</v>
      </c>
      <c r="F17" s="39">
        <v>2000</v>
      </c>
      <c r="G17" s="37">
        <v>2000</v>
      </c>
      <c r="H17" s="38">
        <v>2000</v>
      </c>
      <c r="I17" s="38">
        <v>2000</v>
      </c>
      <c r="J17" s="38">
        <v>2000</v>
      </c>
      <c r="K17" s="38">
        <v>2000</v>
      </c>
      <c r="L17" s="39">
        <v>2000</v>
      </c>
    </row>
    <row r="18" spans="1:12" x14ac:dyDescent="0.25">
      <c r="A18" t="s">
        <v>39</v>
      </c>
      <c r="B18" s="2" t="s">
        <v>37</v>
      </c>
      <c r="C18" s="62">
        <f>(C8-C9)/C17/C7</f>
        <v>4</v>
      </c>
      <c r="D18" s="61">
        <f>(D8-D9)/D17/D7</f>
        <v>1.5</v>
      </c>
      <c r="E18" s="61">
        <f t="shared" ref="E18:L18" si="3">(E8-E9)/E17/E7</f>
        <v>0.4</v>
      </c>
      <c r="F18" s="63">
        <f t="shared" si="3"/>
        <v>0.5</v>
      </c>
      <c r="G18" s="62">
        <f t="shared" si="3"/>
        <v>2</v>
      </c>
      <c r="H18" s="61">
        <f t="shared" si="3"/>
        <v>2</v>
      </c>
      <c r="I18" s="61">
        <f t="shared" si="3"/>
        <v>2</v>
      </c>
      <c r="J18" s="61">
        <f t="shared" si="3"/>
        <v>0.2</v>
      </c>
      <c r="K18" s="61">
        <f t="shared" si="3"/>
        <v>10</v>
      </c>
      <c r="L18" s="63">
        <f t="shared" si="3"/>
        <v>10</v>
      </c>
    </row>
    <row r="19" spans="1:12" x14ac:dyDescent="0.25">
      <c r="B19" s="2" t="s">
        <v>33</v>
      </c>
      <c r="C19" s="40">
        <f>C18/C15</f>
        <v>0.65065708721455762</v>
      </c>
      <c r="D19" s="41">
        <f>D18/D15</f>
        <v>0.64472763977920189</v>
      </c>
      <c r="E19" s="41">
        <f>E18/E15</f>
        <v>0.78222094281448162</v>
      </c>
      <c r="F19" s="42">
        <f>F18/F15</f>
        <v>0.7382747204804907</v>
      </c>
      <c r="G19" s="40">
        <f t="shared" ref="G19:L19" si="4">G18/G15</f>
        <v>0.71910446636254066</v>
      </c>
      <c r="H19" s="41">
        <f t="shared" si="4"/>
        <v>0.57423751366285225</v>
      </c>
      <c r="I19" s="41">
        <f t="shared" si="4"/>
        <v>0.76487039846816063</v>
      </c>
      <c r="J19" s="41">
        <f>J18/J15</f>
        <v>0.43530863877530479</v>
      </c>
      <c r="K19" s="41">
        <f t="shared" ref="K19" si="5">K18/K15</f>
        <v>0.86798467265109658</v>
      </c>
      <c r="L19" s="42">
        <f t="shared" si="4"/>
        <v>0.62149106977882429</v>
      </c>
    </row>
    <row r="20" spans="1:12" x14ac:dyDescent="0.25">
      <c r="B20" s="2" t="s">
        <v>31</v>
      </c>
      <c r="C20" s="31">
        <f>C18/C13</f>
        <v>4</v>
      </c>
      <c r="D20" s="32">
        <f t="shared" ref="D20:K20" si="6">D18/D13</f>
        <v>6</v>
      </c>
      <c r="E20" s="32">
        <f t="shared" si="6"/>
        <v>4</v>
      </c>
      <c r="F20" s="33">
        <f t="shared" si="6"/>
        <v>2</v>
      </c>
      <c r="G20" s="31">
        <f t="shared" si="6"/>
        <v>4</v>
      </c>
      <c r="H20" s="32">
        <f t="shared" si="6"/>
        <v>4</v>
      </c>
      <c r="I20" s="32">
        <f t="shared" si="6"/>
        <v>4</v>
      </c>
      <c r="J20" s="32">
        <f t="shared" si="6"/>
        <v>2</v>
      </c>
      <c r="K20" s="32">
        <f t="shared" si="6"/>
        <v>2</v>
      </c>
      <c r="L20" s="33">
        <f>L18/L13</f>
        <v>10</v>
      </c>
    </row>
    <row r="21" spans="1:12" x14ac:dyDescent="0.25">
      <c r="A21" t="s">
        <v>47</v>
      </c>
      <c r="B21" s="2" t="s">
        <v>40</v>
      </c>
      <c r="C21" s="43">
        <v>904990</v>
      </c>
      <c r="D21" s="44">
        <v>1189004</v>
      </c>
      <c r="E21" s="44">
        <v>1001723</v>
      </c>
      <c r="F21" s="45">
        <v>1006199</v>
      </c>
      <c r="G21" s="43">
        <v>1635743</v>
      </c>
      <c r="H21" s="44">
        <v>1258943</v>
      </c>
      <c r="I21" s="44">
        <v>1675625</v>
      </c>
      <c r="J21" s="44">
        <v>1209371</v>
      </c>
      <c r="K21" s="44">
        <v>1703286</v>
      </c>
      <c r="L21" s="45">
        <v>1551863</v>
      </c>
    </row>
    <row r="22" spans="1:12" x14ac:dyDescent="0.25">
      <c r="B22" s="2" t="s">
        <v>41</v>
      </c>
      <c r="C22" s="43">
        <v>2394542</v>
      </c>
      <c r="D22" s="44">
        <v>2683308</v>
      </c>
      <c r="E22" s="44">
        <v>2440922</v>
      </c>
      <c r="F22" s="45">
        <v>2865897</v>
      </c>
      <c r="G22" s="43">
        <v>3490977</v>
      </c>
      <c r="H22" s="44">
        <v>3695767</v>
      </c>
      <c r="I22" s="44">
        <v>3306021</v>
      </c>
      <c r="J22" s="44">
        <v>2630350</v>
      </c>
      <c r="K22" s="44">
        <v>2878874</v>
      </c>
      <c r="L22" s="45">
        <v>2572607</v>
      </c>
    </row>
    <row r="23" spans="1:12" x14ac:dyDescent="0.25">
      <c r="B23" s="2" t="s">
        <v>42</v>
      </c>
      <c r="C23" s="46">
        <f t="shared" ref="C23:K23" si="7">C21/C22</f>
        <v>0.37793866217422789</v>
      </c>
      <c r="D23" s="47">
        <f t="shared" si="7"/>
        <v>0.44311126415603425</v>
      </c>
      <c r="E23" s="47">
        <f t="shared" si="7"/>
        <v>0.41038714059687281</v>
      </c>
      <c r="F23" s="48">
        <f t="shared" si="7"/>
        <v>0.35109391579669474</v>
      </c>
      <c r="G23" s="46">
        <f t="shared" si="7"/>
        <v>0.46856309852514066</v>
      </c>
      <c r="H23" s="47">
        <f t="shared" si="7"/>
        <v>0.34064458067838149</v>
      </c>
      <c r="I23" s="47">
        <f t="shared" si="7"/>
        <v>0.50684039817048954</v>
      </c>
      <c r="J23" s="47">
        <f t="shared" si="7"/>
        <v>0.45977569524968159</v>
      </c>
      <c r="K23" s="47">
        <f t="shared" si="7"/>
        <v>0.59165006874215409</v>
      </c>
      <c r="L23" s="48">
        <f>L21/L22</f>
        <v>0.60322583278363151</v>
      </c>
    </row>
    <row r="24" spans="1:12" x14ac:dyDescent="0.25">
      <c r="A24" t="s">
        <v>43</v>
      </c>
      <c r="B24" s="2" t="s">
        <v>40</v>
      </c>
      <c r="C24" s="43">
        <v>316966</v>
      </c>
      <c r="D24" s="44">
        <v>447535</v>
      </c>
      <c r="E24" s="44">
        <v>379961</v>
      </c>
      <c r="F24" s="45">
        <v>378096</v>
      </c>
      <c r="G24" s="43">
        <v>584580</v>
      </c>
      <c r="H24" s="44">
        <v>432423</v>
      </c>
      <c r="I24" s="44">
        <v>609400</v>
      </c>
      <c r="J24" s="44">
        <v>425168</v>
      </c>
      <c r="K24" s="44">
        <v>799720</v>
      </c>
      <c r="L24" s="45">
        <v>882676</v>
      </c>
    </row>
    <row r="25" spans="1:12" x14ac:dyDescent="0.25">
      <c r="B25" s="2" t="s">
        <v>41</v>
      </c>
      <c r="C25" s="43">
        <v>2394533</v>
      </c>
      <c r="D25" s="44">
        <v>2683299</v>
      </c>
      <c r="E25" s="44">
        <v>2440913</v>
      </c>
      <c r="F25" s="45">
        <v>2865888</v>
      </c>
      <c r="G25" s="43">
        <v>3490968</v>
      </c>
      <c r="H25" s="44">
        <v>3695758</v>
      </c>
      <c r="I25" s="44">
        <v>3306012</v>
      </c>
      <c r="J25" s="44">
        <v>2630341</v>
      </c>
      <c r="K25" s="44">
        <v>2878865</v>
      </c>
      <c r="L25" s="45">
        <v>2572598</v>
      </c>
    </row>
    <row r="26" spans="1:12" x14ac:dyDescent="0.25">
      <c r="B26" s="2" t="s">
        <v>42</v>
      </c>
      <c r="C26" s="46">
        <f t="shared" ref="C26:K26" si="8">C24/C25</f>
        <v>0.13237069608144886</v>
      </c>
      <c r="D26" s="47">
        <f t="shared" si="8"/>
        <v>0.16678536383757456</v>
      </c>
      <c r="E26" s="47">
        <f t="shared" si="8"/>
        <v>0.15566347510132478</v>
      </c>
      <c r="F26" s="48">
        <f t="shared" si="8"/>
        <v>0.13192978930090779</v>
      </c>
      <c r="G26" s="46">
        <f t="shared" si="8"/>
        <v>0.16745498669709949</v>
      </c>
      <c r="H26" s="47">
        <f t="shared" si="8"/>
        <v>0.11700522599152867</v>
      </c>
      <c r="I26" s="47">
        <f t="shared" si="8"/>
        <v>0.18433084937380748</v>
      </c>
      <c r="J26" s="47">
        <f t="shared" si="8"/>
        <v>0.16163987863170592</v>
      </c>
      <c r="K26" s="47">
        <f t="shared" si="8"/>
        <v>0.27779003183546291</v>
      </c>
      <c r="L26" s="48">
        <f>L24/L25</f>
        <v>0.34310685151741549</v>
      </c>
    </row>
    <row r="27" spans="1:12" x14ac:dyDescent="0.25">
      <c r="A27" t="s">
        <v>44</v>
      </c>
      <c r="B27" s="2" t="s">
        <v>40</v>
      </c>
      <c r="C27" s="43">
        <v>92448</v>
      </c>
      <c r="D27" s="44">
        <v>134633</v>
      </c>
      <c r="E27" s="44">
        <v>92537</v>
      </c>
      <c r="F27" s="45">
        <v>114068</v>
      </c>
      <c r="G27" s="43">
        <v>168711</v>
      </c>
      <c r="H27" s="44">
        <v>129550</v>
      </c>
      <c r="I27" s="44">
        <v>180226</v>
      </c>
      <c r="J27" s="44">
        <v>121152</v>
      </c>
      <c r="K27" s="44">
        <v>213616</v>
      </c>
      <c r="L27" s="45">
        <v>221021</v>
      </c>
    </row>
    <row r="28" spans="1:12" x14ac:dyDescent="0.25">
      <c r="B28" s="2" t="s">
        <v>41</v>
      </c>
      <c r="C28" s="43">
        <v>2394443</v>
      </c>
      <c r="D28" s="44">
        <v>2683209</v>
      </c>
      <c r="E28" s="44">
        <v>2440823</v>
      </c>
      <c r="F28" s="45">
        <v>2865798</v>
      </c>
      <c r="G28" s="43">
        <v>3490878</v>
      </c>
      <c r="H28" s="44">
        <v>3695668</v>
      </c>
      <c r="I28" s="44">
        <v>3305922</v>
      </c>
      <c r="J28" s="44">
        <v>2630251</v>
      </c>
      <c r="K28" s="44">
        <v>2878775</v>
      </c>
      <c r="L28" s="45">
        <v>2572508</v>
      </c>
    </row>
    <row r="29" spans="1:12" x14ac:dyDescent="0.25">
      <c r="B29" s="2" t="s">
        <v>42</v>
      </c>
      <c r="C29" s="46">
        <f t="shared" ref="C29:K29" si="9">C27/C28</f>
        <v>3.860939684093545E-2</v>
      </c>
      <c r="D29" s="47">
        <f t="shared" si="9"/>
        <v>5.0176113750363835E-2</v>
      </c>
      <c r="E29" s="47">
        <f t="shared" si="9"/>
        <v>3.7912212397211924E-2</v>
      </c>
      <c r="F29" s="48">
        <f t="shared" si="9"/>
        <v>3.9803224093254305E-2</v>
      </c>
      <c r="G29" s="46">
        <f t="shared" si="9"/>
        <v>4.8329102306067413E-2</v>
      </c>
      <c r="H29" s="47">
        <f t="shared" si="9"/>
        <v>3.5054555766372952E-2</v>
      </c>
      <c r="I29" s="47">
        <f t="shared" si="9"/>
        <v>5.4516107760558173E-2</v>
      </c>
      <c r="J29" s="47">
        <f t="shared" si="9"/>
        <v>4.6061003303487003E-2</v>
      </c>
      <c r="K29" s="47">
        <f t="shared" si="9"/>
        <v>7.4203784595878453E-2</v>
      </c>
      <c r="L29" s="48">
        <f>L27/L28</f>
        <v>8.5916545254669768E-2</v>
      </c>
    </row>
    <row r="30" spans="1:12" x14ac:dyDescent="0.25">
      <c r="A30" t="s">
        <v>45</v>
      </c>
      <c r="B30" s="2" t="s">
        <v>40</v>
      </c>
      <c r="C30" s="43">
        <v>21213</v>
      </c>
      <c r="D30" s="44">
        <v>29795</v>
      </c>
      <c r="E30" s="44">
        <v>23084</v>
      </c>
      <c r="F30" s="45">
        <v>26888</v>
      </c>
      <c r="G30" s="43">
        <v>40834</v>
      </c>
      <c r="H30" s="44">
        <v>26745</v>
      </c>
      <c r="I30" s="44">
        <v>43602</v>
      </c>
      <c r="J30" s="44">
        <v>27229</v>
      </c>
      <c r="K30" s="44">
        <v>41747</v>
      </c>
      <c r="L30" s="45">
        <v>29732</v>
      </c>
    </row>
    <row r="31" spans="1:12" x14ac:dyDescent="0.25">
      <c r="B31" s="2" t="s">
        <v>41</v>
      </c>
      <c r="C31" s="43">
        <v>2393543</v>
      </c>
      <c r="D31" s="44">
        <v>2682309</v>
      </c>
      <c r="E31" s="44">
        <v>2439923</v>
      </c>
      <c r="F31" s="45">
        <v>2864898</v>
      </c>
      <c r="G31" s="43">
        <v>3489978</v>
      </c>
      <c r="H31" s="44">
        <v>3694768</v>
      </c>
      <c r="I31" s="44">
        <v>3305022</v>
      </c>
      <c r="J31" s="44">
        <v>2629351</v>
      </c>
      <c r="K31" s="44">
        <v>2877875</v>
      </c>
      <c r="L31" s="45">
        <v>2571608</v>
      </c>
    </row>
    <row r="32" spans="1:12" x14ac:dyDescent="0.25">
      <c r="B32" s="2" t="s">
        <v>42</v>
      </c>
      <c r="C32" s="46">
        <f t="shared" ref="C32:K32" si="10">C30/C31</f>
        <v>8.8625940707979765E-3</v>
      </c>
      <c r="D32" s="47">
        <f t="shared" si="10"/>
        <v>1.1107967053758534E-2</v>
      </c>
      <c r="E32" s="47">
        <f t="shared" si="10"/>
        <v>9.4609543006070277E-3</v>
      </c>
      <c r="F32" s="48">
        <f t="shared" si="10"/>
        <v>9.3853254112362811E-3</v>
      </c>
      <c r="G32" s="46">
        <f t="shared" si="10"/>
        <v>1.1700360288804112E-2</v>
      </c>
      <c r="H32" s="47">
        <f t="shared" si="10"/>
        <v>7.238614170091329E-3</v>
      </c>
      <c r="I32" s="47">
        <f t="shared" si="10"/>
        <v>1.3192650457394837E-2</v>
      </c>
      <c r="J32" s="47">
        <f t="shared" si="10"/>
        <v>1.0355787416742764E-2</v>
      </c>
      <c r="K32" s="47">
        <f t="shared" si="10"/>
        <v>1.4506189462711202E-2</v>
      </c>
      <c r="L32" s="48">
        <f>L30/L31</f>
        <v>1.1561637699058332E-2</v>
      </c>
    </row>
    <row r="33" spans="1:12" x14ac:dyDescent="0.25">
      <c r="A33" t="s">
        <v>46</v>
      </c>
      <c r="B33" s="2" t="s">
        <v>40</v>
      </c>
      <c r="C33" s="43">
        <v>5837</v>
      </c>
      <c r="D33" s="44">
        <v>7965</v>
      </c>
      <c r="E33" s="44">
        <v>6134</v>
      </c>
      <c r="F33" s="45">
        <v>6773</v>
      </c>
      <c r="G33" s="43">
        <v>12337</v>
      </c>
      <c r="H33" s="44">
        <v>7162</v>
      </c>
      <c r="I33" s="44">
        <v>12217</v>
      </c>
      <c r="J33" s="44">
        <v>6324</v>
      </c>
      <c r="K33" s="44">
        <v>10741</v>
      </c>
      <c r="L33" s="45">
        <v>7976</v>
      </c>
    </row>
    <row r="34" spans="1:12" x14ac:dyDescent="0.25">
      <c r="B34" s="2" t="s">
        <v>41</v>
      </c>
      <c r="C34" s="43">
        <v>2384543</v>
      </c>
      <c r="D34" s="44">
        <v>2673309</v>
      </c>
      <c r="E34" s="44">
        <v>2430923</v>
      </c>
      <c r="F34" s="45">
        <v>2855898</v>
      </c>
      <c r="G34" s="43">
        <v>3480978</v>
      </c>
      <c r="H34" s="44">
        <v>3685768</v>
      </c>
      <c r="I34" s="44">
        <v>3296022</v>
      </c>
      <c r="J34" s="44">
        <v>2620351</v>
      </c>
      <c r="K34" s="44">
        <v>2868875</v>
      </c>
      <c r="L34" s="45">
        <v>2562608</v>
      </c>
    </row>
    <row r="35" spans="1:12" ht="15.75" thickBot="1" x14ac:dyDescent="0.3">
      <c r="B35" s="2" t="s">
        <v>42</v>
      </c>
      <c r="C35" s="49">
        <f t="shared" ref="C35:K35" si="11">C33/C34</f>
        <v>2.4478484975947175E-3</v>
      </c>
      <c r="D35" s="50">
        <f t="shared" si="11"/>
        <v>2.9794535536296031E-3</v>
      </c>
      <c r="E35" s="50">
        <f t="shared" si="11"/>
        <v>2.5233213886248144E-3</v>
      </c>
      <c r="F35" s="51">
        <f t="shared" si="11"/>
        <v>2.371583298843306E-3</v>
      </c>
      <c r="G35" s="49">
        <f t="shared" si="11"/>
        <v>3.5441189229004034E-3</v>
      </c>
      <c r="H35" s="50">
        <f t="shared" si="11"/>
        <v>1.9431499757988024E-3</v>
      </c>
      <c r="I35" s="50">
        <f t="shared" si="11"/>
        <v>3.7065893370857353E-3</v>
      </c>
      <c r="J35" s="50">
        <f t="shared" si="11"/>
        <v>2.4134171338114625E-3</v>
      </c>
      <c r="K35" s="50">
        <f t="shared" si="11"/>
        <v>3.7439762973290923E-3</v>
      </c>
      <c r="L35" s="51">
        <f>L33/L34</f>
        <v>3.1124541872966914E-3</v>
      </c>
    </row>
    <row r="36" spans="1:12" ht="15.75" thickBot="1" x14ac:dyDescent="0.3"/>
    <row r="37" spans="1:12" ht="15.75" thickBot="1" x14ac:dyDescent="0.3">
      <c r="A37" t="s">
        <v>15</v>
      </c>
      <c r="B37" s="16">
        <v>0.1</v>
      </c>
      <c r="C37" s="58">
        <f>MAX(ROUND(C15*$B$37/C13,0)*C13,C13)*C17*C7</f>
        <v>2000</v>
      </c>
      <c r="D37" s="59">
        <f>MAX(ROUND(D15*$B$37/D13,0)*D13,D13)*D17*D7</f>
        <v>50000</v>
      </c>
      <c r="E37" s="59">
        <f>MAX(ROUND(E15*$B$37/E13,0)*E13,E13)*E17*E7</f>
        <v>2000</v>
      </c>
      <c r="F37" s="59">
        <f>MAX(ROUND(F15*$B$37/F13,0)*F13,F13)*F17*F7</f>
        <v>50000</v>
      </c>
      <c r="G37" s="59">
        <f>MAX(ROUND(G15*$B$37/G13,0)*G13,G13)*G17*G7</f>
        <v>10000</v>
      </c>
      <c r="H37" s="59">
        <f>MAX(ROUND(H15*$B$37/H13,0)*H13,H13)*H17*H7</f>
        <v>10000</v>
      </c>
      <c r="I37" s="59">
        <f>MAX(ROUND(I15*$B$37/I13,0)*I13,I13)*I17*I7</f>
        <v>10000</v>
      </c>
      <c r="J37" s="59">
        <f>MAX(ROUND(J15*$B$37/J13,0)*J13,J13)*J17*J7</f>
        <v>2000</v>
      </c>
      <c r="K37" s="59">
        <f>MAX(ROUND(K15*$B$37/K13,0)*K13,K13)*K17*K7</f>
        <v>10000</v>
      </c>
      <c r="L37" s="60">
        <f>MAX(ROUND(L15*$B$37/L13,0)*L13,L13)*L17*L7</f>
        <v>4000</v>
      </c>
    </row>
    <row r="38" spans="1:12" x14ac:dyDescent="0.25">
      <c r="B38" s="1" t="s">
        <v>37</v>
      </c>
      <c r="C38" s="92">
        <f>(C37+C37)/C17</f>
        <v>2</v>
      </c>
      <c r="D38" s="92">
        <f>(D37+D37)/D17</f>
        <v>50</v>
      </c>
      <c r="E38" s="92">
        <f>(E37+E37)/E17</f>
        <v>2</v>
      </c>
      <c r="F38" s="92">
        <f>(F37+F37)/F17</f>
        <v>50</v>
      </c>
      <c r="G38" s="92">
        <f>(G37+G37)/G17</f>
        <v>10</v>
      </c>
      <c r="H38" s="92">
        <f>(H37+H37)/H17</f>
        <v>10</v>
      </c>
      <c r="I38" s="92">
        <f>(I37+I37)/I17</f>
        <v>10</v>
      </c>
      <c r="J38" s="92">
        <f>(J37+J37)/J17</f>
        <v>2</v>
      </c>
      <c r="K38" s="92">
        <f>(K37+K37)/K17</f>
        <v>10</v>
      </c>
      <c r="L38" s="92">
        <f>(L37+L37)/L17</f>
        <v>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A85F-ACE7-4FF1-AE5D-D323336DEB47}">
  <dimension ref="A1:P38"/>
  <sheetViews>
    <sheetView topLeftCell="A7" zoomScale="110" zoomScaleNormal="110" workbookViewId="0">
      <selection activeCell="A37" sqref="A37:L38"/>
    </sheetView>
  </sheetViews>
  <sheetFormatPr defaultRowHeight="15" x14ac:dyDescent="0.25"/>
  <cols>
    <col min="1" max="1" width="11.42578125" bestFit="1" customWidth="1"/>
    <col min="2" max="2" width="21" bestFit="1" customWidth="1"/>
    <col min="3" max="3" width="9.85546875" bestFit="1" customWidth="1"/>
    <col min="4" max="4" width="10.85546875" bestFit="1" customWidth="1"/>
    <col min="5" max="10" width="9.85546875" bestFit="1" customWidth="1"/>
    <col min="11" max="11" width="10" bestFit="1" customWidth="1"/>
    <col min="12" max="12" width="10.42578125" bestFit="1" customWidth="1"/>
    <col min="14" max="14" width="14" bestFit="1" customWidth="1"/>
  </cols>
  <sheetData>
    <row r="1" spans="1:16" x14ac:dyDescent="0.25"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</row>
    <row r="2" spans="1:16" ht="15.75" thickBot="1" x14ac:dyDescent="0.3">
      <c r="C2" s="1" t="s">
        <v>0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12</v>
      </c>
      <c r="L2" s="1" t="s">
        <v>10</v>
      </c>
      <c r="N2" s="1" t="s">
        <v>24</v>
      </c>
      <c r="O2" s="1" t="s">
        <v>25</v>
      </c>
      <c r="P2" s="1" t="s">
        <v>26</v>
      </c>
    </row>
    <row r="3" spans="1:16" x14ac:dyDescent="0.25">
      <c r="B3" s="1" t="s">
        <v>13</v>
      </c>
      <c r="C3" s="13">
        <v>2001</v>
      </c>
      <c r="D3" s="14">
        <v>2001</v>
      </c>
      <c r="E3" s="14">
        <v>2001</v>
      </c>
      <c r="F3" s="15">
        <v>2001</v>
      </c>
      <c r="G3" s="13">
        <v>2001</v>
      </c>
      <c r="H3" s="14">
        <v>2001</v>
      </c>
      <c r="I3" s="14">
        <v>2001</v>
      </c>
      <c r="J3" s="14">
        <v>2001</v>
      </c>
      <c r="K3" s="14">
        <v>2001</v>
      </c>
      <c r="L3" s="15">
        <v>2001</v>
      </c>
    </row>
    <row r="4" spans="1:16" x14ac:dyDescent="0.25">
      <c r="B4" s="1" t="s">
        <v>1</v>
      </c>
      <c r="C4" s="9">
        <v>1.723765426471729</v>
      </c>
      <c r="D4" s="6">
        <v>1.7882527094154543</v>
      </c>
      <c r="E4" s="6">
        <v>1.5686432596663444</v>
      </c>
      <c r="F4" s="3">
        <v>1.7767389162449847</v>
      </c>
      <c r="G4" s="9">
        <v>1.7295412740195937</v>
      </c>
      <c r="H4" s="6">
        <v>1.7332685396630396</v>
      </c>
      <c r="I4" s="6">
        <v>1.7467702318197416</v>
      </c>
      <c r="J4" s="6">
        <v>1.6690732545412232</v>
      </c>
      <c r="K4" s="6">
        <v>1.4925627895636289</v>
      </c>
      <c r="L4" s="3">
        <v>1.3230634611628562</v>
      </c>
      <c r="N4" s="12">
        <f>AVERAGE(C4:F4,J4)</f>
        <v>1.705294713267947</v>
      </c>
      <c r="O4" s="12">
        <f>AVERAGE(G4:I4)</f>
        <v>1.736526681834125</v>
      </c>
      <c r="P4" s="12">
        <f>AVERAGE(K4:L4)</f>
        <v>1.4078131253632424</v>
      </c>
    </row>
    <row r="5" spans="1:16" x14ac:dyDescent="0.25">
      <c r="B5" s="1" t="s">
        <v>11</v>
      </c>
      <c r="C5" s="10">
        <v>3.7039008362286552</v>
      </c>
      <c r="D5" s="7">
        <v>0.50229686955043185</v>
      </c>
      <c r="E5" s="7">
        <v>5.6125831698334516E-2</v>
      </c>
      <c r="F5" s="4">
        <v>0.104431510132585</v>
      </c>
      <c r="G5" s="10">
        <v>0.75368683328411124</v>
      </c>
      <c r="H5" s="7">
        <v>1.392139655283732</v>
      </c>
      <c r="I5" s="7">
        <v>0.64707567308978742</v>
      </c>
      <c r="J5" s="7">
        <v>2.120622742033141E-2</v>
      </c>
      <c r="K5" s="7">
        <v>2.5261703596429728</v>
      </c>
      <c r="L5" s="4">
        <v>1.3079518607098684</v>
      </c>
      <c r="M5" s="1" t="s">
        <v>48</v>
      </c>
      <c r="N5" s="19">
        <f>STDEV(C4:F4,J4)</f>
        <v>8.9879202758220242E-2</v>
      </c>
      <c r="O5" s="19">
        <f>STDEV(G4:I4)</f>
        <v>9.0648146437239743E-3</v>
      </c>
      <c r="P5" s="19">
        <f>STDEV(K4:L4)</f>
        <v>0.11985412451875189</v>
      </c>
    </row>
    <row r="6" spans="1:16" ht="15.75" thickBot="1" x14ac:dyDescent="0.3">
      <c r="B6" s="1" t="s">
        <v>2</v>
      </c>
      <c r="C6" s="11">
        <v>0.99615799766956958</v>
      </c>
      <c r="D6" s="8">
        <v>0.99607922332796806</v>
      </c>
      <c r="E6" s="8">
        <v>0.9986569024041535</v>
      </c>
      <c r="F6" s="5">
        <v>0.99639624175721486</v>
      </c>
      <c r="G6" s="11">
        <v>0.99758331877800577</v>
      </c>
      <c r="H6" s="8">
        <v>0.99254492278855933</v>
      </c>
      <c r="I6" s="8">
        <v>0.9961781200620542</v>
      </c>
      <c r="J6" s="8">
        <v>0.99251158545402574</v>
      </c>
      <c r="K6" s="8">
        <v>0.98736199029559757</v>
      </c>
      <c r="L6" s="5">
        <v>0.96726575865668896</v>
      </c>
      <c r="N6" s="12">
        <f>AVERAGE(C6:F6,J6)</f>
        <v>0.9959603901225863</v>
      </c>
      <c r="O6" s="12">
        <f>AVERAGE(G6:I6)</f>
        <v>0.99543545387620647</v>
      </c>
      <c r="P6" s="12">
        <f>AVERAGE(K6:L6)</f>
        <v>0.97731387447614326</v>
      </c>
    </row>
    <row r="7" spans="1:16" x14ac:dyDescent="0.25">
      <c r="B7" s="2" t="s">
        <v>14</v>
      </c>
      <c r="C7" s="20">
        <v>1</v>
      </c>
      <c r="D7" s="21">
        <v>100</v>
      </c>
      <c r="E7" s="21">
        <v>10</v>
      </c>
      <c r="F7" s="22">
        <v>100</v>
      </c>
      <c r="G7" s="20">
        <v>10</v>
      </c>
      <c r="H7" s="21">
        <v>10</v>
      </c>
      <c r="I7" s="21">
        <v>10</v>
      </c>
      <c r="J7" s="21">
        <v>10</v>
      </c>
      <c r="K7" s="14">
        <v>1</v>
      </c>
      <c r="L7" s="22">
        <v>1</v>
      </c>
    </row>
    <row r="8" spans="1:16" x14ac:dyDescent="0.25">
      <c r="B8" s="2" t="s">
        <v>15</v>
      </c>
      <c r="C8" s="23">
        <v>4000</v>
      </c>
      <c r="D8" s="18">
        <v>200000</v>
      </c>
      <c r="E8" s="18">
        <v>4000</v>
      </c>
      <c r="F8" s="24">
        <v>50000</v>
      </c>
      <c r="G8" s="23">
        <v>20000</v>
      </c>
      <c r="H8" s="18">
        <v>30000</v>
      </c>
      <c r="I8" s="18">
        <v>20000</v>
      </c>
      <c r="J8" s="18">
        <v>4000</v>
      </c>
      <c r="K8" s="18">
        <v>10000</v>
      </c>
      <c r="L8" s="24">
        <v>12000</v>
      </c>
    </row>
    <row r="9" spans="1:16" x14ac:dyDescent="0.25">
      <c r="B9" s="2" t="s">
        <v>16</v>
      </c>
      <c r="C9" s="23">
        <f>-C8</f>
        <v>-4000</v>
      </c>
      <c r="D9" s="18">
        <f t="shared" ref="D9:L9" si="0">-D8</f>
        <v>-200000</v>
      </c>
      <c r="E9" s="18">
        <f t="shared" si="0"/>
        <v>-4000</v>
      </c>
      <c r="F9" s="24">
        <f t="shared" si="0"/>
        <v>-50000</v>
      </c>
      <c r="G9" s="52">
        <f t="shared" si="0"/>
        <v>-20000</v>
      </c>
      <c r="H9" s="53">
        <f t="shared" si="0"/>
        <v>-30000</v>
      </c>
      <c r="I9" s="53">
        <f t="shared" si="0"/>
        <v>-20000</v>
      </c>
      <c r="J9" s="53">
        <f t="shared" si="0"/>
        <v>-4000</v>
      </c>
      <c r="K9" s="53">
        <f t="shared" si="0"/>
        <v>-10000</v>
      </c>
      <c r="L9" s="54">
        <f t="shared" si="0"/>
        <v>-12000</v>
      </c>
    </row>
    <row r="10" spans="1:16" x14ac:dyDescent="0.25">
      <c r="B10" s="2" t="s">
        <v>17</v>
      </c>
      <c r="C10" s="25">
        <v>0.35416666666666669</v>
      </c>
      <c r="D10" s="26">
        <v>0.35416666666666669</v>
      </c>
      <c r="E10" s="26">
        <v>0.35416666666666669</v>
      </c>
      <c r="F10" s="27">
        <v>0.35416666666666669</v>
      </c>
      <c r="G10" s="25">
        <v>0.33333333333333331</v>
      </c>
      <c r="H10" s="26">
        <v>0.375</v>
      </c>
      <c r="I10" s="26">
        <v>0.375</v>
      </c>
      <c r="J10" s="26">
        <v>0.39583333333333331</v>
      </c>
      <c r="K10" s="26">
        <v>0.32291666666666669</v>
      </c>
      <c r="L10" s="27">
        <v>0.38541666666666669</v>
      </c>
    </row>
    <row r="11" spans="1:16" x14ac:dyDescent="0.25">
      <c r="B11" s="2" t="s">
        <v>18</v>
      </c>
      <c r="C11" s="25">
        <v>0.67708333333333337</v>
      </c>
      <c r="D11" s="26">
        <v>0.67708333333333337</v>
      </c>
      <c r="E11" s="26">
        <v>0.67708333333333337</v>
      </c>
      <c r="F11" s="27">
        <v>0.67708333333333337</v>
      </c>
      <c r="G11" s="25">
        <v>0.6875</v>
      </c>
      <c r="H11" s="26">
        <v>0.72916666666666663</v>
      </c>
      <c r="I11" s="26">
        <v>0.72916666666666663</v>
      </c>
      <c r="J11" s="26">
        <v>0.67708333333333337</v>
      </c>
      <c r="K11" s="26">
        <v>0.60416666666666663</v>
      </c>
      <c r="L11" s="27">
        <v>0.6875</v>
      </c>
    </row>
    <row r="12" spans="1:16" x14ac:dyDescent="0.25">
      <c r="B12" s="2" t="s">
        <v>19</v>
      </c>
      <c r="C12" s="28" t="s">
        <v>20</v>
      </c>
      <c r="D12" s="29" t="s">
        <v>20</v>
      </c>
      <c r="E12" s="29" t="s">
        <v>20</v>
      </c>
      <c r="F12" s="30" t="s">
        <v>20</v>
      </c>
      <c r="G12" s="28" t="s">
        <v>21</v>
      </c>
      <c r="H12" s="29" t="s">
        <v>22</v>
      </c>
      <c r="I12" s="29" t="s">
        <v>23</v>
      </c>
      <c r="J12" s="29" t="s">
        <v>27</v>
      </c>
      <c r="K12" s="29" t="s">
        <v>28</v>
      </c>
      <c r="L12" s="30" t="s">
        <v>29</v>
      </c>
    </row>
    <row r="13" spans="1:16" x14ac:dyDescent="0.25">
      <c r="B13" s="2" t="s">
        <v>30</v>
      </c>
      <c r="C13" s="31">
        <v>1</v>
      </c>
      <c r="D13" s="32">
        <v>0.25</v>
      </c>
      <c r="E13" s="32">
        <v>0.1</v>
      </c>
      <c r="F13" s="33">
        <v>0.25</v>
      </c>
      <c r="G13" s="31">
        <v>0.5</v>
      </c>
      <c r="H13" s="32">
        <v>0.5</v>
      </c>
      <c r="I13" s="32">
        <v>0.5</v>
      </c>
      <c r="J13" s="32">
        <v>0.1</v>
      </c>
      <c r="K13" s="32">
        <v>5</v>
      </c>
      <c r="L13" s="33">
        <v>1</v>
      </c>
    </row>
    <row r="14" spans="1:16" x14ac:dyDescent="0.25">
      <c r="B14" s="2" t="s">
        <v>35</v>
      </c>
      <c r="C14" s="34">
        <f>(C8-C9)/C13/C7</f>
        <v>8000</v>
      </c>
      <c r="D14" s="35">
        <f t="shared" ref="D14:L14" si="1">(D8-D9)/D13/D7</f>
        <v>16000</v>
      </c>
      <c r="E14" s="35">
        <f t="shared" si="1"/>
        <v>8000</v>
      </c>
      <c r="F14" s="36">
        <f t="shared" si="1"/>
        <v>4000</v>
      </c>
      <c r="G14" s="34">
        <f t="shared" si="1"/>
        <v>8000</v>
      </c>
      <c r="H14" s="35">
        <f t="shared" si="1"/>
        <v>12000</v>
      </c>
      <c r="I14" s="35">
        <f t="shared" si="1"/>
        <v>8000</v>
      </c>
      <c r="J14" s="35">
        <f t="shared" si="1"/>
        <v>8000</v>
      </c>
      <c r="K14" s="35">
        <f t="shared" si="1"/>
        <v>4000</v>
      </c>
      <c r="L14" s="36">
        <f t="shared" si="1"/>
        <v>24000</v>
      </c>
    </row>
    <row r="15" spans="1:16" x14ac:dyDescent="0.25">
      <c r="A15" s="16" t="s">
        <v>34</v>
      </c>
      <c r="B15" s="2" t="s">
        <v>32</v>
      </c>
      <c r="C15" s="55">
        <v>6.1476314922256101</v>
      </c>
      <c r="D15" s="56">
        <v>2.3265638192798761</v>
      </c>
      <c r="E15" s="56">
        <v>0.511364472754685</v>
      </c>
      <c r="F15" s="57">
        <v>0.67725466703585002</v>
      </c>
      <c r="G15" s="55">
        <v>2.7812370713209957</v>
      </c>
      <c r="H15" s="56">
        <v>3.4828793877340534</v>
      </c>
      <c r="I15" s="56">
        <v>2.6148220718248312</v>
      </c>
      <c r="J15" s="56">
        <v>0.45944413270244083</v>
      </c>
      <c r="K15" s="56">
        <v>11.520940766680676</v>
      </c>
      <c r="L15" s="57">
        <v>16.090335784806676</v>
      </c>
    </row>
    <row r="16" spans="1:16" x14ac:dyDescent="0.25">
      <c r="B16" s="2" t="s">
        <v>36</v>
      </c>
      <c r="C16" s="34">
        <f>(C8-C9)/C15/C7</f>
        <v>1301.3141744291154</v>
      </c>
      <c r="D16" s="35">
        <f t="shared" ref="D16:L16" si="2">(D8-D9)/D15/D7</f>
        <v>1719.2737060778716</v>
      </c>
      <c r="E16" s="35">
        <f t="shared" si="2"/>
        <v>1564.4418856289633</v>
      </c>
      <c r="F16" s="36">
        <f t="shared" si="2"/>
        <v>1476.5494409609817</v>
      </c>
      <c r="G16" s="34">
        <f t="shared" si="2"/>
        <v>1438.2089327250812</v>
      </c>
      <c r="H16" s="35">
        <f t="shared" si="2"/>
        <v>1722.7125409885568</v>
      </c>
      <c r="I16" s="35">
        <f t="shared" si="2"/>
        <v>1529.7407969363214</v>
      </c>
      <c r="J16" s="35">
        <f t="shared" si="2"/>
        <v>1741.234555101219</v>
      </c>
      <c r="K16" s="35">
        <f t="shared" si="2"/>
        <v>1735.9693453021932</v>
      </c>
      <c r="L16" s="36">
        <f t="shared" si="2"/>
        <v>1491.5785674691783</v>
      </c>
    </row>
    <row r="17" spans="1:12" x14ac:dyDescent="0.25">
      <c r="B17" s="2" t="s">
        <v>38</v>
      </c>
      <c r="C17" s="37">
        <v>2000</v>
      </c>
      <c r="D17" s="38">
        <v>2000</v>
      </c>
      <c r="E17" s="38">
        <v>2000</v>
      </c>
      <c r="F17" s="39">
        <v>2000</v>
      </c>
      <c r="G17" s="37">
        <v>2000</v>
      </c>
      <c r="H17" s="38">
        <v>2000</v>
      </c>
      <c r="I17" s="38">
        <v>2000</v>
      </c>
      <c r="J17" s="38">
        <v>2000</v>
      </c>
      <c r="K17" s="38">
        <v>2000</v>
      </c>
      <c r="L17" s="39">
        <v>2000</v>
      </c>
    </row>
    <row r="18" spans="1:12" x14ac:dyDescent="0.25">
      <c r="A18" t="s">
        <v>39</v>
      </c>
      <c r="B18" s="2" t="s">
        <v>37</v>
      </c>
      <c r="C18" s="62">
        <f>(C8-C9)/C17/C7</f>
        <v>4</v>
      </c>
      <c r="D18" s="61">
        <f>(D8-D9)/D17/D7</f>
        <v>2</v>
      </c>
      <c r="E18" s="61">
        <f t="shared" ref="E18:L18" si="3">(E8-E9)/E17/E7</f>
        <v>0.4</v>
      </c>
      <c r="F18" s="63">
        <f t="shared" si="3"/>
        <v>0.5</v>
      </c>
      <c r="G18" s="62">
        <f t="shared" si="3"/>
        <v>2</v>
      </c>
      <c r="H18" s="61">
        <f t="shared" si="3"/>
        <v>3</v>
      </c>
      <c r="I18" s="61">
        <f t="shared" si="3"/>
        <v>2</v>
      </c>
      <c r="J18" s="61">
        <f t="shared" si="3"/>
        <v>0.4</v>
      </c>
      <c r="K18" s="61">
        <f t="shared" si="3"/>
        <v>10</v>
      </c>
      <c r="L18" s="63">
        <f t="shared" si="3"/>
        <v>12</v>
      </c>
    </row>
    <row r="19" spans="1:12" x14ac:dyDescent="0.25">
      <c r="B19" s="2" t="s">
        <v>33</v>
      </c>
      <c r="C19" s="40">
        <f>C18/C15</f>
        <v>0.65065708721455762</v>
      </c>
      <c r="D19" s="41">
        <f>D18/D15</f>
        <v>0.85963685303893578</v>
      </c>
      <c r="E19" s="41">
        <f>E18/E15</f>
        <v>0.78222094281448162</v>
      </c>
      <c r="F19" s="42">
        <f>F18/F15</f>
        <v>0.7382747204804907</v>
      </c>
      <c r="G19" s="40">
        <f t="shared" ref="G19" si="4">G18/G15</f>
        <v>0.71910446636254066</v>
      </c>
      <c r="H19" s="41">
        <f t="shared" ref="H19:L19" si="5">H18/H15</f>
        <v>0.86135627049427843</v>
      </c>
      <c r="I19" s="41">
        <f t="shared" si="5"/>
        <v>0.76487039846816063</v>
      </c>
      <c r="J19" s="41">
        <f>J18/J15</f>
        <v>0.87061727755060958</v>
      </c>
      <c r="K19" s="41">
        <f t="shared" ref="K19" si="6">K18/K15</f>
        <v>0.86798467265109658</v>
      </c>
      <c r="L19" s="42">
        <f t="shared" si="5"/>
        <v>0.74578928373458919</v>
      </c>
    </row>
    <row r="20" spans="1:12" x14ac:dyDescent="0.25">
      <c r="B20" s="2" t="s">
        <v>31</v>
      </c>
      <c r="C20" s="31">
        <f>C18/C13</f>
        <v>4</v>
      </c>
      <c r="D20" s="32">
        <f t="shared" ref="D20:K20" si="7">D18/D13</f>
        <v>8</v>
      </c>
      <c r="E20" s="32">
        <f t="shared" si="7"/>
        <v>4</v>
      </c>
      <c r="F20" s="33">
        <f t="shared" si="7"/>
        <v>2</v>
      </c>
      <c r="G20" s="31">
        <f t="shared" si="7"/>
        <v>4</v>
      </c>
      <c r="H20" s="32">
        <f t="shared" si="7"/>
        <v>6</v>
      </c>
      <c r="I20" s="32">
        <f t="shared" si="7"/>
        <v>4</v>
      </c>
      <c r="J20" s="32">
        <f t="shared" si="7"/>
        <v>4</v>
      </c>
      <c r="K20" s="32">
        <f t="shared" si="7"/>
        <v>2</v>
      </c>
      <c r="L20" s="33">
        <f>L18/L13</f>
        <v>12</v>
      </c>
    </row>
    <row r="21" spans="1:12" x14ac:dyDescent="0.25">
      <c r="A21" t="s">
        <v>47</v>
      </c>
      <c r="B21" s="2" t="s">
        <v>40</v>
      </c>
      <c r="C21" s="43">
        <v>904990</v>
      </c>
      <c r="D21" s="44">
        <v>1416817</v>
      </c>
      <c r="E21" s="44">
        <v>1001723</v>
      </c>
      <c r="F21" s="45">
        <v>1006199</v>
      </c>
      <c r="G21" s="43">
        <v>1635743</v>
      </c>
      <c r="H21" s="44">
        <v>1719090</v>
      </c>
      <c r="I21" s="44">
        <v>1675625</v>
      </c>
      <c r="J21" s="44">
        <v>1637441</v>
      </c>
      <c r="K21" s="44">
        <v>1703286</v>
      </c>
      <c r="L21" s="45">
        <v>1687225</v>
      </c>
    </row>
    <row r="22" spans="1:12" x14ac:dyDescent="0.25">
      <c r="B22" s="2" t="s">
        <v>41</v>
      </c>
      <c r="C22" s="43">
        <v>2394542</v>
      </c>
      <c r="D22" s="44">
        <v>2683308</v>
      </c>
      <c r="E22" s="44">
        <v>2440922</v>
      </c>
      <c r="F22" s="45">
        <v>2865897</v>
      </c>
      <c r="G22" s="43">
        <v>3490977</v>
      </c>
      <c r="H22" s="44">
        <v>3695767</v>
      </c>
      <c r="I22" s="44">
        <v>3306021</v>
      </c>
      <c r="J22" s="44">
        <v>2630350</v>
      </c>
      <c r="K22" s="44">
        <v>2878874</v>
      </c>
      <c r="L22" s="45">
        <v>2572607</v>
      </c>
    </row>
    <row r="23" spans="1:12" x14ac:dyDescent="0.25">
      <c r="B23" s="2" t="s">
        <v>42</v>
      </c>
      <c r="C23" s="46">
        <f t="shared" ref="C23" si="8">C21/C22</f>
        <v>0.37793866217422789</v>
      </c>
      <c r="D23" s="47">
        <f t="shared" ref="D23:K23" si="9">D21/D22</f>
        <v>0.52801132035532261</v>
      </c>
      <c r="E23" s="47">
        <f t="shared" si="9"/>
        <v>0.41038714059687281</v>
      </c>
      <c r="F23" s="48">
        <f t="shared" si="9"/>
        <v>0.35109391579669474</v>
      </c>
      <c r="G23" s="46">
        <f t="shared" si="9"/>
        <v>0.46856309852514066</v>
      </c>
      <c r="H23" s="47">
        <f t="shared" si="9"/>
        <v>0.46515107689418733</v>
      </c>
      <c r="I23" s="47">
        <f t="shared" si="9"/>
        <v>0.50684039817048954</v>
      </c>
      <c r="J23" s="47">
        <f t="shared" si="9"/>
        <v>0.62251829604425268</v>
      </c>
      <c r="K23" s="47">
        <f t="shared" si="9"/>
        <v>0.59165006874215409</v>
      </c>
      <c r="L23" s="48">
        <f>L21/L22</f>
        <v>0.65584249751322299</v>
      </c>
    </row>
    <row r="24" spans="1:12" x14ac:dyDescent="0.25">
      <c r="A24" t="s">
        <v>43</v>
      </c>
      <c r="B24" s="2" t="s">
        <v>40</v>
      </c>
      <c r="C24" s="43">
        <v>316966</v>
      </c>
      <c r="D24" s="44">
        <v>582482</v>
      </c>
      <c r="E24" s="44">
        <v>379961</v>
      </c>
      <c r="F24" s="45">
        <v>378096</v>
      </c>
      <c r="G24" s="43">
        <v>584580</v>
      </c>
      <c r="H24" s="44">
        <v>637282</v>
      </c>
      <c r="I24" s="44">
        <v>609400</v>
      </c>
      <c r="J24" s="44">
        <v>691840</v>
      </c>
      <c r="K24" s="44">
        <v>799720</v>
      </c>
      <c r="L24" s="45">
        <v>953192</v>
      </c>
    </row>
    <row r="25" spans="1:12" x14ac:dyDescent="0.25">
      <c r="B25" s="2" t="s">
        <v>41</v>
      </c>
      <c r="C25" s="43">
        <v>2394533</v>
      </c>
      <c r="D25" s="44">
        <v>2683299</v>
      </c>
      <c r="E25" s="44">
        <v>2440913</v>
      </c>
      <c r="F25" s="45">
        <v>2865888</v>
      </c>
      <c r="G25" s="43">
        <v>3490968</v>
      </c>
      <c r="H25" s="44">
        <v>3695758</v>
      </c>
      <c r="I25" s="44">
        <v>3306012</v>
      </c>
      <c r="J25" s="44">
        <v>2630341</v>
      </c>
      <c r="K25" s="44">
        <v>2878865</v>
      </c>
      <c r="L25" s="45">
        <v>2572598</v>
      </c>
    </row>
    <row r="26" spans="1:12" x14ac:dyDescent="0.25">
      <c r="B26" s="2" t="s">
        <v>42</v>
      </c>
      <c r="C26" s="46">
        <f t="shared" ref="C26" si="10">C24/C25</f>
        <v>0.13237069608144886</v>
      </c>
      <c r="D26" s="47">
        <f t="shared" ref="D26:K26" si="11">D24/D25</f>
        <v>0.21707681477166726</v>
      </c>
      <c r="E26" s="47">
        <f t="shared" si="11"/>
        <v>0.15566347510132478</v>
      </c>
      <c r="F26" s="48">
        <f t="shared" si="11"/>
        <v>0.13192978930090779</v>
      </c>
      <c r="G26" s="46">
        <f t="shared" si="11"/>
        <v>0.16745498669709949</v>
      </c>
      <c r="H26" s="47">
        <f t="shared" si="11"/>
        <v>0.17243607400701019</v>
      </c>
      <c r="I26" s="47">
        <f t="shared" si="11"/>
        <v>0.18433084937380748</v>
      </c>
      <c r="J26" s="47">
        <f t="shared" si="11"/>
        <v>0.26302293124731735</v>
      </c>
      <c r="K26" s="47">
        <f t="shared" si="11"/>
        <v>0.27779003183546291</v>
      </c>
      <c r="L26" s="48">
        <f>L24/L25</f>
        <v>0.37051727475493645</v>
      </c>
    </row>
    <row r="27" spans="1:12" x14ac:dyDescent="0.25">
      <c r="A27" t="s">
        <v>44</v>
      </c>
      <c r="B27" s="2" t="s">
        <v>40</v>
      </c>
      <c r="C27" s="43">
        <v>92448</v>
      </c>
      <c r="D27" s="44">
        <v>178755</v>
      </c>
      <c r="E27" s="44">
        <v>92537</v>
      </c>
      <c r="F27" s="45">
        <v>114068</v>
      </c>
      <c r="G27" s="43">
        <v>168711</v>
      </c>
      <c r="H27" s="44">
        <v>193708</v>
      </c>
      <c r="I27" s="44">
        <v>180226</v>
      </c>
      <c r="J27" s="44">
        <v>205391</v>
      </c>
      <c r="K27" s="44">
        <v>213616</v>
      </c>
      <c r="L27" s="45">
        <v>254613</v>
      </c>
    </row>
    <row r="28" spans="1:12" x14ac:dyDescent="0.25">
      <c r="B28" s="2" t="s">
        <v>41</v>
      </c>
      <c r="C28" s="43">
        <v>2394443</v>
      </c>
      <c r="D28" s="44">
        <v>2683209</v>
      </c>
      <c r="E28" s="44">
        <v>2440823</v>
      </c>
      <c r="F28" s="45">
        <v>2865798</v>
      </c>
      <c r="G28" s="43">
        <v>3490878</v>
      </c>
      <c r="H28" s="44">
        <v>3695668</v>
      </c>
      <c r="I28" s="44">
        <v>3305922</v>
      </c>
      <c r="J28" s="44">
        <v>2630251</v>
      </c>
      <c r="K28" s="44">
        <v>2878775</v>
      </c>
      <c r="L28" s="45">
        <v>2572508</v>
      </c>
    </row>
    <row r="29" spans="1:12" x14ac:dyDescent="0.25">
      <c r="B29" s="2" t="s">
        <v>42</v>
      </c>
      <c r="C29" s="46">
        <f t="shared" ref="C29" si="12">C27/C28</f>
        <v>3.860939684093545E-2</v>
      </c>
      <c r="D29" s="47">
        <f t="shared" ref="D29:K29" si="13">D27/D28</f>
        <v>6.661985704430777E-2</v>
      </c>
      <c r="E29" s="47">
        <f t="shared" si="13"/>
        <v>3.7912212397211924E-2</v>
      </c>
      <c r="F29" s="48">
        <f t="shared" si="13"/>
        <v>3.9803224093254305E-2</v>
      </c>
      <c r="G29" s="46">
        <f t="shared" si="13"/>
        <v>4.8329102306067413E-2</v>
      </c>
      <c r="H29" s="47">
        <f t="shared" si="13"/>
        <v>5.2414881423331318E-2</v>
      </c>
      <c r="I29" s="47">
        <f t="shared" si="13"/>
        <v>5.4516107760558173E-2</v>
      </c>
      <c r="J29" s="47">
        <f t="shared" si="13"/>
        <v>7.8087984758869022E-2</v>
      </c>
      <c r="K29" s="47">
        <f t="shared" si="13"/>
        <v>7.4203784595878453E-2</v>
      </c>
      <c r="L29" s="48">
        <f>L27/L28</f>
        <v>9.8974619320911728E-2</v>
      </c>
    </row>
    <row r="30" spans="1:12" x14ac:dyDescent="0.25">
      <c r="A30" t="s">
        <v>45</v>
      </c>
      <c r="B30" s="2" t="s">
        <v>40</v>
      </c>
      <c r="C30" s="43">
        <v>21213</v>
      </c>
      <c r="D30" s="44">
        <v>40004</v>
      </c>
      <c r="E30" s="44">
        <v>23084</v>
      </c>
      <c r="F30" s="45">
        <v>26888</v>
      </c>
      <c r="G30" s="43">
        <v>40834</v>
      </c>
      <c r="H30" s="44">
        <v>39918</v>
      </c>
      <c r="I30" s="44">
        <v>43602</v>
      </c>
      <c r="J30" s="44">
        <v>46958</v>
      </c>
      <c r="K30" s="44">
        <v>41747</v>
      </c>
      <c r="L30" s="45">
        <v>35627</v>
      </c>
    </row>
    <row r="31" spans="1:12" x14ac:dyDescent="0.25">
      <c r="B31" s="2" t="s">
        <v>41</v>
      </c>
      <c r="C31" s="43">
        <v>2393543</v>
      </c>
      <c r="D31" s="44">
        <v>2682309</v>
      </c>
      <c r="E31" s="44">
        <v>2439923</v>
      </c>
      <c r="F31" s="45">
        <v>2864898</v>
      </c>
      <c r="G31" s="43">
        <v>3489978</v>
      </c>
      <c r="H31" s="44">
        <v>3694768</v>
      </c>
      <c r="I31" s="44">
        <v>3305022</v>
      </c>
      <c r="J31" s="44">
        <v>2629351</v>
      </c>
      <c r="K31" s="44">
        <v>2877875</v>
      </c>
      <c r="L31" s="45">
        <v>2571608</v>
      </c>
    </row>
    <row r="32" spans="1:12" x14ac:dyDescent="0.25">
      <c r="B32" s="2" t="s">
        <v>42</v>
      </c>
      <c r="C32" s="46">
        <f t="shared" ref="C32" si="14">C30/C31</f>
        <v>8.8625940707979765E-3</v>
      </c>
      <c r="D32" s="47">
        <f t="shared" ref="D32:K32" si="15">D30/D31</f>
        <v>1.49140162449591E-2</v>
      </c>
      <c r="E32" s="47">
        <f t="shared" si="15"/>
        <v>9.4609543006070277E-3</v>
      </c>
      <c r="F32" s="48">
        <f t="shared" si="15"/>
        <v>9.3853254112362811E-3</v>
      </c>
      <c r="G32" s="46">
        <f t="shared" si="15"/>
        <v>1.1700360288804112E-2</v>
      </c>
      <c r="H32" s="47">
        <f t="shared" si="15"/>
        <v>1.0803925983986004E-2</v>
      </c>
      <c r="I32" s="47">
        <f t="shared" si="15"/>
        <v>1.3192650457394837E-2</v>
      </c>
      <c r="J32" s="47">
        <f t="shared" si="15"/>
        <v>1.785915992197314E-2</v>
      </c>
      <c r="K32" s="47">
        <f t="shared" si="15"/>
        <v>1.4506189462711202E-2</v>
      </c>
      <c r="L32" s="48">
        <f>L30/L31</f>
        <v>1.3853977744664039E-2</v>
      </c>
    </row>
    <row r="33" spans="1:12" x14ac:dyDescent="0.25">
      <c r="A33" t="s">
        <v>46</v>
      </c>
      <c r="B33" s="2" t="s">
        <v>40</v>
      </c>
      <c r="C33" s="43">
        <v>5837</v>
      </c>
      <c r="D33" s="44">
        <v>10641</v>
      </c>
      <c r="E33" s="44">
        <v>6134</v>
      </c>
      <c r="F33" s="45">
        <v>6773</v>
      </c>
      <c r="G33" s="43">
        <v>12337</v>
      </c>
      <c r="H33" s="44">
        <v>10650</v>
      </c>
      <c r="I33" s="44">
        <v>12217</v>
      </c>
      <c r="J33" s="44">
        <v>11105</v>
      </c>
      <c r="K33" s="44">
        <v>10741</v>
      </c>
      <c r="L33" s="45">
        <v>9516</v>
      </c>
    </row>
    <row r="34" spans="1:12" x14ac:dyDescent="0.25">
      <c r="B34" s="2" t="s">
        <v>41</v>
      </c>
      <c r="C34" s="43">
        <v>2384543</v>
      </c>
      <c r="D34" s="44">
        <v>2673309</v>
      </c>
      <c r="E34" s="44">
        <v>2430923</v>
      </c>
      <c r="F34" s="45">
        <v>2855898</v>
      </c>
      <c r="G34" s="43">
        <v>3480978</v>
      </c>
      <c r="H34" s="44">
        <v>3685768</v>
      </c>
      <c r="I34" s="44">
        <v>3296022</v>
      </c>
      <c r="J34" s="44">
        <v>2620351</v>
      </c>
      <c r="K34" s="44">
        <v>2868875</v>
      </c>
      <c r="L34" s="45">
        <v>2562608</v>
      </c>
    </row>
    <row r="35" spans="1:12" ht="15.75" thickBot="1" x14ac:dyDescent="0.3">
      <c r="B35" s="2" t="s">
        <v>42</v>
      </c>
      <c r="C35" s="49">
        <f t="shared" ref="C35" si="16">C33/C34</f>
        <v>2.4478484975947175E-3</v>
      </c>
      <c r="D35" s="50">
        <f t="shared" ref="D35:K35" si="17">D33/D34</f>
        <v>3.9804601712708854E-3</v>
      </c>
      <c r="E35" s="50">
        <f t="shared" si="17"/>
        <v>2.5233213886248144E-3</v>
      </c>
      <c r="F35" s="51">
        <f t="shared" si="17"/>
        <v>2.371583298843306E-3</v>
      </c>
      <c r="G35" s="49">
        <f t="shared" si="17"/>
        <v>3.5441189229004034E-3</v>
      </c>
      <c r="H35" s="50">
        <f t="shared" si="17"/>
        <v>2.8894927732836142E-3</v>
      </c>
      <c r="I35" s="50">
        <f t="shared" si="17"/>
        <v>3.7065893370857353E-3</v>
      </c>
      <c r="J35" s="50">
        <f t="shared" si="17"/>
        <v>4.2379818581556438E-3</v>
      </c>
      <c r="K35" s="50">
        <f t="shared" si="17"/>
        <v>3.7439762973290923E-3</v>
      </c>
      <c r="L35" s="51">
        <f>L33/L34</f>
        <v>3.7134044691970055E-3</v>
      </c>
    </row>
    <row r="36" spans="1:12" ht="15.75" thickBot="1" x14ac:dyDescent="0.3"/>
    <row r="37" spans="1:12" ht="15.75" thickBot="1" x14ac:dyDescent="0.3">
      <c r="A37" t="s">
        <v>15</v>
      </c>
      <c r="B37" s="16">
        <v>0.1</v>
      </c>
      <c r="C37" s="58">
        <f>MAX(ROUND(C15*$B$37/C13,0)*C13,C13)*C17*C7</f>
        <v>2000</v>
      </c>
      <c r="D37" s="59">
        <f>MAX(ROUND(D15*$B$37/D13,0)*D13,D13)*D17*D7</f>
        <v>50000</v>
      </c>
      <c r="E37" s="59">
        <f>MAX(ROUND(E15*$B$37/E13,0)*E13,E13)*E17*E7</f>
        <v>2000</v>
      </c>
      <c r="F37" s="59">
        <f>MAX(ROUND(F15*$B$37/F13,0)*F13,F13)*F17*F7</f>
        <v>50000</v>
      </c>
      <c r="G37" s="59">
        <f>MAX(ROUND(G15*$B$37/G13,0)*G13,G13)*G17*G7</f>
        <v>10000</v>
      </c>
      <c r="H37" s="59">
        <f>MAX(ROUND(H15*$B$37/H13,0)*H13,H13)*H17*H7</f>
        <v>10000</v>
      </c>
      <c r="I37" s="59">
        <f>MAX(ROUND(I15*$B$37/I13,0)*I13,I13)*I17*I7</f>
        <v>10000</v>
      </c>
      <c r="J37" s="59">
        <f>MAX(ROUND(J15*$B$37/J13,0)*J13,J13)*J17*J7</f>
        <v>2000</v>
      </c>
      <c r="K37" s="59">
        <f>MAX(ROUND(K15*$B$37/K13,0)*K13,K13)*K17*K7</f>
        <v>10000</v>
      </c>
      <c r="L37" s="60">
        <f>MAX(ROUND(L15*$B$37/L13,0)*L13,L13)*L17*L7</f>
        <v>4000</v>
      </c>
    </row>
    <row r="38" spans="1:12" x14ac:dyDescent="0.25">
      <c r="B38" s="1" t="s">
        <v>37</v>
      </c>
      <c r="C38" s="92">
        <f>(C37+C37)/C17</f>
        <v>2</v>
      </c>
      <c r="D38" s="92">
        <f>(D37+D37)/D17</f>
        <v>50</v>
      </c>
      <c r="E38" s="92">
        <f>(E37+E37)/E17</f>
        <v>2</v>
      </c>
      <c r="F38" s="92">
        <f>(F37+F37)/F17</f>
        <v>50</v>
      </c>
      <c r="G38" s="92">
        <f>(G37+G37)/G17</f>
        <v>10</v>
      </c>
      <c r="H38" s="92">
        <f>(H37+H37)/H17</f>
        <v>10</v>
      </c>
      <c r="I38" s="92">
        <f>(I37+I37)/I17</f>
        <v>10</v>
      </c>
      <c r="J38" s="92">
        <f>(J37+J37)/J17</f>
        <v>2</v>
      </c>
      <c r="K38" s="92">
        <f>(K37+K37)/K17</f>
        <v>10</v>
      </c>
      <c r="L38" s="92">
        <f>(L37+L37)/L17</f>
        <v>4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B8DE-0411-486F-8DCA-03E9C681BA48}">
  <dimension ref="A1:P38"/>
  <sheetViews>
    <sheetView tabSelected="1" topLeftCell="A8" zoomScale="110" zoomScaleNormal="110" workbookViewId="0">
      <selection activeCell="F38" sqref="F38"/>
    </sheetView>
  </sheetViews>
  <sheetFormatPr defaultRowHeight="15" x14ac:dyDescent="0.25"/>
  <cols>
    <col min="1" max="1" width="11.42578125" bestFit="1" customWidth="1"/>
    <col min="2" max="2" width="21" bestFit="1" customWidth="1"/>
    <col min="3" max="3" width="9.85546875" bestFit="1" customWidth="1"/>
    <col min="4" max="4" width="10.85546875" bestFit="1" customWidth="1"/>
    <col min="5" max="10" width="9.85546875" bestFit="1" customWidth="1"/>
    <col min="11" max="11" width="10" bestFit="1" customWidth="1"/>
    <col min="12" max="12" width="10.42578125" bestFit="1" customWidth="1"/>
    <col min="14" max="14" width="14" bestFit="1" customWidth="1"/>
  </cols>
  <sheetData>
    <row r="1" spans="1:16" x14ac:dyDescent="0.25"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</row>
    <row r="2" spans="1:16" ht="15.75" thickBot="1" x14ac:dyDescent="0.3">
      <c r="C2" s="1" t="s">
        <v>0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12</v>
      </c>
      <c r="L2" s="1" t="s">
        <v>10</v>
      </c>
      <c r="N2" s="1" t="s">
        <v>24</v>
      </c>
      <c r="O2" s="1" t="s">
        <v>25</v>
      </c>
      <c r="P2" s="1" t="s">
        <v>26</v>
      </c>
    </row>
    <row r="3" spans="1:16" x14ac:dyDescent="0.25">
      <c r="B3" s="1" t="s">
        <v>13</v>
      </c>
      <c r="C3" s="13">
        <v>2001</v>
      </c>
      <c r="D3" s="14">
        <v>2001</v>
      </c>
      <c r="E3" s="14">
        <v>2001</v>
      </c>
      <c r="F3" s="15">
        <v>2001</v>
      </c>
      <c r="G3" s="13">
        <v>2001</v>
      </c>
      <c r="H3" s="14">
        <v>2001</v>
      </c>
      <c r="I3" s="14">
        <v>2001</v>
      </c>
      <c r="J3" s="14">
        <v>2001</v>
      </c>
      <c r="K3" s="14">
        <v>2001</v>
      </c>
      <c r="L3" s="15">
        <v>2001</v>
      </c>
    </row>
    <row r="4" spans="1:16" x14ac:dyDescent="0.25">
      <c r="B4" s="1" t="s">
        <v>1</v>
      </c>
      <c r="C4" s="9">
        <v>1.7375023107410217</v>
      </c>
      <c r="D4" s="6">
        <v>1.8061422137350194</v>
      </c>
      <c r="E4" s="6">
        <v>1.6068866857991231</v>
      </c>
      <c r="F4" s="3">
        <v>1.7767389162449847</v>
      </c>
      <c r="G4" s="9">
        <v>1.7509119659826551</v>
      </c>
      <c r="H4" s="6">
        <v>1.7332685396630396</v>
      </c>
      <c r="I4" s="6">
        <v>1.768799116951522</v>
      </c>
      <c r="J4" s="6">
        <v>1.6690732545412232</v>
      </c>
      <c r="K4" s="6">
        <v>1.4925627895636289</v>
      </c>
      <c r="L4" s="3">
        <v>1.4261477531369817</v>
      </c>
      <c r="N4" s="12">
        <f>AVERAGE(C4:F4,J4)</f>
        <v>1.7192686762122744</v>
      </c>
      <c r="O4" s="12">
        <f>AVERAGE(G4:I4)</f>
        <v>1.7509932075324055</v>
      </c>
      <c r="P4" s="12">
        <f>AVERAGE(K4:L4)</f>
        <v>1.4593552713503053</v>
      </c>
    </row>
    <row r="5" spans="1:16" x14ac:dyDescent="0.25">
      <c r="B5" s="1" t="s">
        <v>11</v>
      </c>
      <c r="C5" s="10">
        <v>3.8988703535516214</v>
      </c>
      <c r="D5" s="7">
        <v>0.52412060201425015</v>
      </c>
      <c r="E5" s="7">
        <v>5.6630353086468861E-2</v>
      </c>
      <c r="F5" s="4">
        <v>0.104431510132585</v>
      </c>
      <c r="G5" s="10">
        <v>0.80508815032670855</v>
      </c>
      <c r="H5" s="7">
        <v>1.392139655283732</v>
      </c>
      <c r="I5" s="7">
        <v>0.68924761719243832</v>
      </c>
      <c r="J5" s="7">
        <v>2.120622742033141E-2</v>
      </c>
      <c r="K5" s="7">
        <v>2.5261703596429728</v>
      </c>
      <c r="L5" s="4">
        <v>2.0589524288502252</v>
      </c>
      <c r="M5" s="1" t="s">
        <v>48</v>
      </c>
      <c r="N5" s="19">
        <f>STDEV(C4:F4,J4)</f>
        <v>8.1135068813086783E-2</v>
      </c>
      <c r="O5" s="19">
        <f>STDEV(G4:I4)</f>
        <v>1.7765427964314847E-2</v>
      </c>
      <c r="P5" s="19">
        <f>STDEV(K4:L4)</f>
        <v>4.6962522630033768E-2</v>
      </c>
    </row>
    <row r="6" spans="1:16" ht="15.75" thickBot="1" x14ac:dyDescent="0.3">
      <c r="B6" s="1" t="s">
        <v>2</v>
      </c>
      <c r="C6" s="11">
        <v>0.99591178080166909</v>
      </c>
      <c r="D6" s="8">
        <v>0.99543323006504569</v>
      </c>
      <c r="E6" s="8">
        <v>0.99845004334605192</v>
      </c>
      <c r="F6" s="5">
        <v>0.99639624175721486</v>
      </c>
      <c r="G6" s="11">
        <v>0.99713921667143091</v>
      </c>
      <c r="H6" s="8">
        <v>0.99254492278855933</v>
      </c>
      <c r="I6" s="8">
        <v>0.99562470726719388</v>
      </c>
      <c r="J6" s="8">
        <v>0.99251158545402574</v>
      </c>
      <c r="K6" s="8">
        <v>0.98736199029559757</v>
      </c>
      <c r="L6" s="5">
        <v>0.96863608673255508</v>
      </c>
      <c r="N6" s="12">
        <f>AVERAGE(C6:F6,J6)</f>
        <v>0.9957405762848015</v>
      </c>
      <c r="O6" s="12">
        <f>AVERAGE(G6:I6)</f>
        <v>0.99510294890906137</v>
      </c>
      <c r="P6" s="12">
        <f>AVERAGE(K6:L6)</f>
        <v>0.97799903851407632</v>
      </c>
    </row>
    <row r="7" spans="1:16" x14ac:dyDescent="0.25">
      <c r="B7" s="2" t="s">
        <v>14</v>
      </c>
      <c r="C7" s="20">
        <v>1</v>
      </c>
      <c r="D7" s="21">
        <v>100</v>
      </c>
      <c r="E7" s="21">
        <v>10</v>
      </c>
      <c r="F7" s="22">
        <v>100</v>
      </c>
      <c r="G7" s="20">
        <v>10</v>
      </c>
      <c r="H7" s="21">
        <v>10</v>
      </c>
      <c r="I7" s="21">
        <v>10</v>
      </c>
      <c r="J7" s="21">
        <v>10</v>
      </c>
      <c r="K7" s="14">
        <v>1</v>
      </c>
      <c r="L7" s="22">
        <v>1</v>
      </c>
    </row>
    <row r="8" spans="1:16" x14ac:dyDescent="0.25">
      <c r="B8" s="2" t="s">
        <v>15</v>
      </c>
      <c r="C8" s="23">
        <v>6000</v>
      </c>
      <c r="D8" s="18">
        <v>250000</v>
      </c>
      <c r="E8" s="18">
        <v>6000.0000000000009</v>
      </c>
      <c r="F8" s="24">
        <v>50000</v>
      </c>
      <c r="G8" s="23">
        <v>30000</v>
      </c>
      <c r="H8" s="18">
        <v>30000</v>
      </c>
      <c r="I8" s="18">
        <v>30000</v>
      </c>
      <c r="J8" s="18">
        <v>4000</v>
      </c>
      <c r="K8" s="18">
        <v>10000</v>
      </c>
      <c r="L8" s="24">
        <v>16000</v>
      </c>
    </row>
    <row r="9" spans="1:16" x14ac:dyDescent="0.25">
      <c r="B9" s="2" t="s">
        <v>16</v>
      </c>
      <c r="C9" s="23">
        <f>-C8</f>
        <v>-6000</v>
      </c>
      <c r="D9" s="18">
        <f t="shared" ref="D9:L9" si="0">-D8</f>
        <v>-250000</v>
      </c>
      <c r="E9" s="18">
        <f t="shared" si="0"/>
        <v>-6000.0000000000009</v>
      </c>
      <c r="F9" s="24">
        <f t="shared" si="0"/>
        <v>-50000</v>
      </c>
      <c r="G9" s="52">
        <f t="shared" si="0"/>
        <v>-30000</v>
      </c>
      <c r="H9" s="53">
        <f t="shared" si="0"/>
        <v>-30000</v>
      </c>
      <c r="I9" s="53">
        <f t="shared" si="0"/>
        <v>-30000</v>
      </c>
      <c r="J9" s="53">
        <f t="shared" si="0"/>
        <v>-4000</v>
      </c>
      <c r="K9" s="53">
        <f t="shared" si="0"/>
        <v>-10000</v>
      </c>
      <c r="L9" s="54">
        <f t="shared" si="0"/>
        <v>-16000</v>
      </c>
    </row>
    <row r="10" spans="1:16" x14ac:dyDescent="0.25">
      <c r="B10" s="2" t="s">
        <v>17</v>
      </c>
      <c r="C10" s="25">
        <v>0.35416666666666669</v>
      </c>
      <c r="D10" s="26">
        <v>0.35416666666666669</v>
      </c>
      <c r="E10" s="26">
        <v>0.35416666666666669</v>
      </c>
      <c r="F10" s="27">
        <v>0.35416666666666669</v>
      </c>
      <c r="G10" s="25">
        <v>0.33333333333333331</v>
      </c>
      <c r="H10" s="26">
        <v>0.375</v>
      </c>
      <c r="I10" s="26">
        <v>0.375</v>
      </c>
      <c r="J10" s="26">
        <v>0.39583333333333331</v>
      </c>
      <c r="K10" s="26">
        <v>0.32291666666666669</v>
      </c>
      <c r="L10" s="27">
        <v>0.38541666666666669</v>
      </c>
    </row>
    <row r="11" spans="1:16" x14ac:dyDescent="0.25">
      <c r="B11" s="2" t="s">
        <v>18</v>
      </c>
      <c r="C11" s="25">
        <v>0.67708333333333337</v>
      </c>
      <c r="D11" s="26">
        <v>0.67708333333333337</v>
      </c>
      <c r="E11" s="26">
        <v>0.67708333333333337</v>
      </c>
      <c r="F11" s="27">
        <v>0.67708333333333337</v>
      </c>
      <c r="G11" s="25">
        <v>0.6875</v>
      </c>
      <c r="H11" s="26">
        <v>0.72916666666666663</v>
      </c>
      <c r="I11" s="26">
        <v>0.72916666666666663</v>
      </c>
      <c r="J11" s="26">
        <v>0.67708333333333337</v>
      </c>
      <c r="K11" s="26">
        <v>0.60416666666666663</v>
      </c>
      <c r="L11" s="27">
        <v>0.6875</v>
      </c>
    </row>
    <row r="12" spans="1:16" x14ac:dyDescent="0.25">
      <c r="B12" s="2" t="s">
        <v>19</v>
      </c>
      <c r="C12" s="28" t="s">
        <v>20</v>
      </c>
      <c r="D12" s="29" t="s">
        <v>20</v>
      </c>
      <c r="E12" s="29" t="s">
        <v>20</v>
      </c>
      <c r="F12" s="30" t="s">
        <v>20</v>
      </c>
      <c r="G12" s="28" t="s">
        <v>21</v>
      </c>
      <c r="H12" s="29" t="s">
        <v>22</v>
      </c>
      <c r="I12" s="29" t="s">
        <v>23</v>
      </c>
      <c r="J12" s="29" t="s">
        <v>27</v>
      </c>
      <c r="K12" s="29" t="s">
        <v>28</v>
      </c>
      <c r="L12" s="30" t="s">
        <v>29</v>
      </c>
    </row>
    <row r="13" spans="1:16" x14ac:dyDescent="0.25">
      <c r="B13" s="2" t="s">
        <v>30</v>
      </c>
      <c r="C13" s="31">
        <v>1</v>
      </c>
      <c r="D13" s="32">
        <v>0.25</v>
      </c>
      <c r="E13" s="32">
        <v>0.1</v>
      </c>
      <c r="F13" s="33">
        <v>0.25</v>
      </c>
      <c r="G13" s="31">
        <v>0.5</v>
      </c>
      <c r="H13" s="32">
        <v>0.5</v>
      </c>
      <c r="I13" s="32">
        <v>0.5</v>
      </c>
      <c r="J13" s="32">
        <v>0.1</v>
      </c>
      <c r="K13" s="32">
        <v>5</v>
      </c>
      <c r="L13" s="33">
        <v>1</v>
      </c>
    </row>
    <row r="14" spans="1:16" x14ac:dyDescent="0.25">
      <c r="B14" s="2" t="s">
        <v>35</v>
      </c>
      <c r="C14" s="34">
        <f>(C8-C9)/C13/C7</f>
        <v>12000</v>
      </c>
      <c r="D14" s="35">
        <f t="shared" ref="D14:L14" si="1">(D8-D9)/D13/D7</f>
        <v>20000</v>
      </c>
      <c r="E14" s="35">
        <f t="shared" si="1"/>
        <v>12000.000000000002</v>
      </c>
      <c r="F14" s="36">
        <f t="shared" si="1"/>
        <v>4000</v>
      </c>
      <c r="G14" s="34">
        <f t="shared" si="1"/>
        <v>12000</v>
      </c>
      <c r="H14" s="35">
        <f t="shared" si="1"/>
        <v>12000</v>
      </c>
      <c r="I14" s="35">
        <f t="shared" si="1"/>
        <v>12000</v>
      </c>
      <c r="J14" s="35">
        <f t="shared" si="1"/>
        <v>8000</v>
      </c>
      <c r="K14" s="35">
        <f t="shared" si="1"/>
        <v>4000</v>
      </c>
      <c r="L14" s="36">
        <f t="shared" si="1"/>
        <v>32000</v>
      </c>
    </row>
    <row r="15" spans="1:16" x14ac:dyDescent="0.25">
      <c r="A15" s="16" t="s">
        <v>34</v>
      </c>
      <c r="B15" s="2" t="s">
        <v>32</v>
      </c>
      <c r="C15" s="55">
        <v>6.1476314922256101</v>
      </c>
      <c r="D15" s="56">
        <v>2.3265638192798761</v>
      </c>
      <c r="E15" s="56">
        <v>0.511364472754685</v>
      </c>
      <c r="F15" s="57">
        <v>0.67725466703585002</v>
      </c>
      <c r="G15" s="55">
        <v>2.7812370713209957</v>
      </c>
      <c r="H15" s="56">
        <v>3.4828793877340534</v>
      </c>
      <c r="I15" s="56">
        <v>2.6148220718248312</v>
      </c>
      <c r="J15" s="56">
        <v>0.45944413270244083</v>
      </c>
      <c r="K15" s="56">
        <v>11.520940766680676</v>
      </c>
      <c r="L15" s="57">
        <v>16.090335784806676</v>
      </c>
    </row>
    <row r="16" spans="1:16" x14ac:dyDescent="0.25">
      <c r="B16" s="2" t="s">
        <v>36</v>
      </c>
      <c r="C16" s="34">
        <f>(C8-C9)/C15/C7</f>
        <v>1951.971261643673</v>
      </c>
      <c r="D16" s="35">
        <f t="shared" ref="D16:L16" si="2">(D8-D9)/D15/D7</f>
        <v>2149.0921325973395</v>
      </c>
      <c r="E16" s="35">
        <f t="shared" si="2"/>
        <v>2346.6628284434455</v>
      </c>
      <c r="F16" s="36">
        <f t="shared" si="2"/>
        <v>1476.5494409609817</v>
      </c>
      <c r="G16" s="34">
        <f t="shared" si="2"/>
        <v>2157.3133990876222</v>
      </c>
      <c r="H16" s="35">
        <f t="shared" si="2"/>
        <v>1722.7125409885568</v>
      </c>
      <c r="I16" s="35">
        <f t="shared" si="2"/>
        <v>2294.6111954044818</v>
      </c>
      <c r="J16" s="35">
        <f t="shared" si="2"/>
        <v>1741.234555101219</v>
      </c>
      <c r="K16" s="35">
        <f t="shared" si="2"/>
        <v>1735.9693453021932</v>
      </c>
      <c r="L16" s="36">
        <f t="shared" si="2"/>
        <v>1988.7714232922378</v>
      </c>
    </row>
    <row r="17" spans="1:12" x14ac:dyDescent="0.25">
      <c r="B17" s="2" t="s">
        <v>38</v>
      </c>
      <c r="C17" s="37">
        <v>2000</v>
      </c>
      <c r="D17" s="38">
        <v>2000</v>
      </c>
      <c r="E17" s="38">
        <v>2000</v>
      </c>
      <c r="F17" s="39">
        <v>2000</v>
      </c>
      <c r="G17" s="37">
        <v>2000</v>
      </c>
      <c r="H17" s="38">
        <v>2000</v>
      </c>
      <c r="I17" s="38">
        <v>2000</v>
      </c>
      <c r="J17" s="38">
        <v>2000</v>
      </c>
      <c r="K17" s="38">
        <v>2000</v>
      </c>
      <c r="L17" s="39">
        <v>2000</v>
      </c>
    </row>
    <row r="18" spans="1:12" x14ac:dyDescent="0.25">
      <c r="A18" t="s">
        <v>39</v>
      </c>
      <c r="B18" s="2" t="s">
        <v>37</v>
      </c>
      <c r="C18" s="62">
        <f>(C8-C9)/C17/C7</f>
        <v>6</v>
      </c>
      <c r="D18" s="61">
        <f>(D8-D9)/D17/D7</f>
        <v>2.5</v>
      </c>
      <c r="E18" s="61">
        <f t="shared" ref="E18:L18" si="3">(E8-E9)/E17/E7</f>
        <v>0.60000000000000009</v>
      </c>
      <c r="F18" s="63">
        <f t="shared" si="3"/>
        <v>0.5</v>
      </c>
      <c r="G18" s="62">
        <f t="shared" si="3"/>
        <v>3</v>
      </c>
      <c r="H18" s="61">
        <f t="shared" si="3"/>
        <v>3</v>
      </c>
      <c r="I18" s="61">
        <f t="shared" si="3"/>
        <v>3</v>
      </c>
      <c r="J18" s="61">
        <f t="shared" si="3"/>
        <v>0.4</v>
      </c>
      <c r="K18" s="61">
        <f t="shared" si="3"/>
        <v>10</v>
      </c>
      <c r="L18" s="63">
        <f t="shared" si="3"/>
        <v>16</v>
      </c>
    </row>
    <row r="19" spans="1:12" x14ac:dyDescent="0.25">
      <c r="B19" s="2" t="s">
        <v>33</v>
      </c>
      <c r="C19" s="40">
        <f>C18/C15</f>
        <v>0.97598563082183643</v>
      </c>
      <c r="D19" s="41">
        <f>D18/D15</f>
        <v>1.0745460662986697</v>
      </c>
      <c r="E19" s="41">
        <f>E18/E15</f>
        <v>1.1733314142217226</v>
      </c>
      <c r="F19" s="42">
        <f>F18/F15</f>
        <v>0.7382747204804907</v>
      </c>
      <c r="G19" s="40">
        <f t="shared" ref="G19:L19" si="4">G18/G15</f>
        <v>1.0786566995438109</v>
      </c>
      <c r="H19" s="41">
        <f t="shared" si="4"/>
        <v>0.86135627049427843</v>
      </c>
      <c r="I19" s="41">
        <f t="shared" si="4"/>
        <v>1.1473055977022411</v>
      </c>
      <c r="J19" s="41">
        <f>J18/J15</f>
        <v>0.87061727755060958</v>
      </c>
      <c r="K19" s="41">
        <f t="shared" ref="K19" si="5">K18/K15</f>
        <v>0.86798467265109658</v>
      </c>
      <c r="L19" s="42">
        <f t="shared" si="4"/>
        <v>0.99438571164611889</v>
      </c>
    </row>
    <row r="20" spans="1:12" x14ac:dyDescent="0.25">
      <c r="B20" s="2" t="s">
        <v>31</v>
      </c>
      <c r="C20" s="31">
        <f>C18/C13</f>
        <v>6</v>
      </c>
      <c r="D20" s="32">
        <f t="shared" ref="D20:K20" si="6">D18/D13</f>
        <v>10</v>
      </c>
      <c r="E20" s="32">
        <f t="shared" si="6"/>
        <v>6.0000000000000009</v>
      </c>
      <c r="F20" s="33">
        <f t="shared" si="6"/>
        <v>2</v>
      </c>
      <c r="G20" s="31">
        <f t="shared" si="6"/>
        <v>6</v>
      </c>
      <c r="H20" s="32">
        <f t="shared" si="6"/>
        <v>6</v>
      </c>
      <c r="I20" s="32">
        <f t="shared" si="6"/>
        <v>6</v>
      </c>
      <c r="J20" s="32">
        <f t="shared" si="6"/>
        <v>4</v>
      </c>
      <c r="K20" s="32">
        <f t="shared" si="6"/>
        <v>2</v>
      </c>
      <c r="L20" s="33">
        <f>L18/L13</f>
        <v>16</v>
      </c>
    </row>
    <row r="21" spans="1:12" x14ac:dyDescent="0.25">
      <c r="A21" t="s">
        <v>47</v>
      </c>
      <c r="B21" s="2" t="s">
        <v>40</v>
      </c>
      <c r="C21" s="43">
        <v>1222194</v>
      </c>
      <c r="D21" s="44">
        <v>1605914</v>
      </c>
      <c r="E21" s="44">
        <v>1343349</v>
      </c>
      <c r="F21" s="45">
        <v>1006199</v>
      </c>
      <c r="G21" s="43">
        <v>2166604</v>
      </c>
      <c r="H21" s="44">
        <v>1719090</v>
      </c>
      <c r="I21" s="44">
        <v>2174427</v>
      </c>
      <c r="J21" s="44">
        <v>1637441</v>
      </c>
      <c r="K21" s="44">
        <v>1703286</v>
      </c>
      <c r="L21" s="45">
        <v>1901310</v>
      </c>
    </row>
    <row r="22" spans="1:12" x14ac:dyDescent="0.25">
      <c r="B22" s="2" t="s">
        <v>41</v>
      </c>
      <c r="C22" s="43">
        <v>2394542</v>
      </c>
      <c r="D22" s="44">
        <v>2683308</v>
      </c>
      <c r="E22" s="44">
        <v>2440922</v>
      </c>
      <c r="F22" s="45">
        <v>2865897</v>
      </c>
      <c r="G22" s="43">
        <v>3490977</v>
      </c>
      <c r="H22" s="44">
        <v>3695767</v>
      </c>
      <c r="I22" s="44">
        <v>3306021</v>
      </c>
      <c r="J22" s="44">
        <v>2630350</v>
      </c>
      <c r="K22" s="44">
        <v>2878874</v>
      </c>
      <c r="L22" s="45">
        <v>2572607</v>
      </c>
    </row>
    <row r="23" spans="1:12" x14ac:dyDescent="0.25">
      <c r="B23" s="2" t="s">
        <v>42</v>
      </c>
      <c r="C23" s="46">
        <f t="shared" ref="C23:K23" si="7">C21/C22</f>
        <v>0.51040825343635654</v>
      </c>
      <c r="D23" s="47">
        <f t="shared" si="7"/>
        <v>0.59848291735425074</v>
      </c>
      <c r="E23" s="47">
        <f t="shared" si="7"/>
        <v>0.55034491065261404</v>
      </c>
      <c r="F23" s="48">
        <f t="shared" si="7"/>
        <v>0.35109391579669474</v>
      </c>
      <c r="G23" s="46">
        <f t="shared" si="7"/>
        <v>0.62062969764624631</v>
      </c>
      <c r="H23" s="47">
        <f t="shared" si="7"/>
        <v>0.46515107689418733</v>
      </c>
      <c r="I23" s="47">
        <f t="shared" si="7"/>
        <v>0.65771723773079482</v>
      </c>
      <c r="J23" s="47">
        <f t="shared" si="7"/>
        <v>0.62251829604425268</v>
      </c>
      <c r="K23" s="47">
        <f t="shared" si="7"/>
        <v>0.59165006874215409</v>
      </c>
      <c r="L23" s="48">
        <f>L21/L22</f>
        <v>0.73905963872445346</v>
      </c>
    </row>
    <row r="24" spans="1:12" x14ac:dyDescent="0.25">
      <c r="A24" t="s">
        <v>43</v>
      </c>
      <c r="B24" s="2" t="s">
        <v>40</v>
      </c>
      <c r="C24" s="43">
        <v>467987</v>
      </c>
      <c r="D24" s="44">
        <v>712935</v>
      </c>
      <c r="E24" s="44">
        <v>557445</v>
      </c>
      <c r="F24" s="45">
        <v>378096</v>
      </c>
      <c r="G24" s="43">
        <v>851899</v>
      </c>
      <c r="H24" s="44">
        <v>637282</v>
      </c>
      <c r="I24" s="44">
        <v>887230</v>
      </c>
      <c r="J24" s="44">
        <v>691840</v>
      </c>
      <c r="K24" s="44">
        <v>799720</v>
      </c>
      <c r="L24" s="45">
        <v>1085419</v>
      </c>
    </row>
    <row r="25" spans="1:12" x14ac:dyDescent="0.25">
      <c r="B25" s="2" t="s">
        <v>41</v>
      </c>
      <c r="C25" s="43">
        <v>2394533</v>
      </c>
      <c r="D25" s="44">
        <v>2683299</v>
      </c>
      <c r="E25" s="44">
        <v>2440913</v>
      </c>
      <c r="F25" s="45">
        <v>2865888</v>
      </c>
      <c r="G25" s="43">
        <v>3490968</v>
      </c>
      <c r="H25" s="44">
        <v>3695758</v>
      </c>
      <c r="I25" s="44">
        <v>3306012</v>
      </c>
      <c r="J25" s="44">
        <v>2630341</v>
      </c>
      <c r="K25" s="44">
        <v>2878865</v>
      </c>
      <c r="L25" s="45">
        <v>2572598</v>
      </c>
    </row>
    <row r="26" spans="1:12" x14ac:dyDescent="0.25">
      <c r="B26" s="2" t="s">
        <v>42</v>
      </c>
      <c r="C26" s="46">
        <f t="shared" ref="C26:K26" si="8">C24/C25</f>
        <v>0.19543977886293487</v>
      </c>
      <c r="D26" s="47">
        <f t="shared" si="8"/>
        <v>0.26569346166789465</v>
      </c>
      <c r="E26" s="47">
        <f t="shared" si="8"/>
        <v>0.22837561191242786</v>
      </c>
      <c r="F26" s="48">
        <f t="shared" si="8"/>
        <v>0.13192978930090779</v>
      </c>
      <c r="G26" s="46">
        <f t="shared" si="8"/>
        <v>0.24402944971136944</v>
      </c>
      <c r="H26" s="47">
        <f t="shared" si="8"/>
        <v>0.17243607400701019</v>
      </c>
      <c r="I26" s="47">
        <f t="shared" si="8"/>
        <v>0.26836865685907973</v>
      </c>
      <c r="J26" s="47">
        <f t="shared" si="8"/>
        <v>0.26302293124731735</v>
      </c>
      <c r="K26" s="47">
        <f t="shared" si="8"/>
        <v>0.27779003183546291</v>
      </c>
      <c r="L26" s="48">
        <f>L24/L25</f>
        <v>0.42191551109034525</v>
      </c>
    </row>
    <row r="27" spans="1:12" x14ac:dyDescent="0.25">
      <c r="A27" t="s">
        <v>44</v>
      </c>
      <c r="B27" s="2" t="s">
        <v>40</v>
      </c>
      <c r="C27" s="43">
        <v>138522</v>
      </c>
      <c r="D27" s="44">
        <v>223346</v>
      </c>
      <c r="E27" s="44">
        <v>142592</v>
      </c>
      <c r="F27" s="45">
        <v>114068</v>
      </c>
      <c r="G27" s="43">
        <v>251058</v>
      </c>
      <c r="H27" s="44">
        <v>193708</v>
      </c>
      <c r="I27" s="44">
        <v>269235</v>
      </c>
      <c r="J27" s="44">
        <v>205391</v>
      </c>
      <c r="K27" s="44">
        <v>213616</v>
      </c>
      <c r="L27" s="45">
        <v>318927</v>
      </c>
    </row>
    <row r="28" spans="1:12" x14ac:dyDescent="0.25">
      <c r="B28" s="2" t="s">
        <v>41</v>
      </c>
      <c r="C28" s="43">
        <v>2394443</v>
      </c>
      <c r="D28" s="44">
        <v>2683209</v>
      </c>
      <c r="E28" s="44">
        <v>2440823</v>
      </c>
      <c r="F28" s="45">
        <v>2865798</v>
      </c>
      <c r="G28" s="43">
        <v>3490878</v>
      </c>
      <c r="H28" s="44">
        <v>3695668</v>
      </c>
      <c r="I28" s="44">
        <v>3305922</v>
      </c>
      <c r="J28" s="44">
        <v>2630251</v>
      </c>
      <c r="K28" s="44">
        <v>2878775</v>
      </c>
      <c r="L28" s="45">
        <v>2572508</v>
      </c>
    </row>
    <row r="29" spans="1:12" x14ac:dyDescent="0.25">
      <c r="B29" s="2" t="s">
        <v>42</v>
      </c>
      <c r="C29" s="46">
        <f t="shared" ref="C29:K29" si="9">C27/C28</f>
        <v>5.7851450212011726E-2</v>
      </c>
      <c r="D29" s="47">
        <f t="shared" si="9"/>
        <v>8.3238391045945354E-2</v>
      </c>
      <c r="E29" s="47">
        <f t="shared" si="9"/>
        <v>5.8419639605165961E-2</v>
      </c>
      <c r="F29" s="48">
        <f t="shared" si="9"/>
        <v>3.9803224093254305E-2</v>
      </c>
      <c r="G29" s="46">
        <f t="shared" si="9"/>
        <v>7.1918296772330623E-2</v>
      </c>
      <c r="H29" s="47">
        <f t="shared" si="9"/>
        <v>5.2414881423331318E-2</v>
      </c>
      <c r="I29" s="47">
        <f t="shared" si="9"/>
        <v>8.1440215467878552E-2</v>
      </c>
      <c r="J29" s="47">
        <f t="shared" si="9"/>
        <v>7.8087984758869022E-2</v>
      </c>
      <c r="K29" s="47">
        <f t="shared" si="9"/>
        <v>7.4203784595878453E-2</v>
      </c>
      <c r="L29" s="48">
        <f>L27/L28</f>
        <v>0.12397512466433534</v>
      </c>
    </row>
    <row r="30" spans="1:12" x14ac:dyDescent="0.25">
      <c r="A30" t="s">
        <v>45</v>
      </c>
      <c r="B30" s="2" t="s">
        <v>40</v>
      </c>
      <c r="C30" s="43">
        <v>31853</v>
      </c>
      <c r="D30" s="44">
        <v>49914</v>
      </c>
      <c r="E30" s="44">
        <v>35604</v>
      </c>
      <c r="F30" s="45">
        <v>26888</v>
      </c>
      <c r="G30" s="43">
        <v>61014</v>
      </c>
      <c r="H30" s="44">
        <v>39918</v>
      </c>
      <c r="I30" s="44">
        <v>65026</v>
      </c>
      <c r="J30" s="44">
        <v>46958</v>
      </c>
      <c r="K30" s="44">
        <v>41747</v>
      </c>
      <c r="L30" s="45">
        <v>47267</v>
      </c>
    </row>
    <row r="31" spans="1:12" x14ac:dyDescent="0.25">
      <c r="B31" s="2" t="s">
        <v>41</v>
      </c>
      <c r="C31" s="43">
        <v>2393543</v>
      </c>
      <c r="D31" s="44">
        <v>2682309</v>
      </c>
      <c r="E31" s="44">
        <v>2439923</v>
      </c>
      <c r="F31" s="45">
        <v>2864898</v>
      </c>
      <c r="G31" s="43">
        <v>3489978</v>
      </c>
      <c r="H31" s="44">
        <v>3694768</v>
      </c>
      <c r="I31" s="44">
        <v>3305022</v>
      </c>
      <c r="J31" s="44">
        <v>2629351</v>
      </c>
      <c r="K31" s="44">
        <v>2877875</v>
      </c>
      <c r="L31" s="45">
        <v>2571608</v>
      </c>
    </row>
    <row r="32" spans="1:12" x14ac:dyDescent="0.25">
      <c r="B32" s="2" t="s">
        <v>42</v>
      </c>
      <c r="C32" s="46">
        <f t="shared" ref="C32:K32" si="10">C30/C31</f>
        <v>1.3307887094570684E-2</v>
      </c>
      <c r="D32" s="47">
        <f t="shared" si="10"/>
        <v>1.8608594311841028E-2</v>
      </c>
      <c r="E32" s="47">
        <f t="shared" si="10"/>
        <v>1.4592263772258387E-2</v>
      </c>
      <c r="F32" s="48">
        <f t="shared" si="10"/>
        <v>9.3853254112362811E-3</v>
      </c>
      <c r="G32" s="46">
        <f t="shared" si="10"/>
        <v>1.7482631695672581E-2</v>
      </c>
      <c r="H32" s="47">
        <f t="shared" si="10"/>
        <v>1.0803925983986004E-2</v>
      </c>
      <c r="I32" s="47">
        <f t="shared" si="10"/>
        <v>1.9674906853872683E-2</v>
      </c>
      <c r="J32" s="47">
        <f t="shared" si="10"/>
        <v>1.785915992197314E-2</v>
      </c>
      <c r="K32" s="47">
        <f t="shared" si="10"/>
        <v>1.4506189462711202E-2</v>
      </c>
      <c r="L32" s="48">
        <f>L30/L31</f>
        <v>1.8380328572628488E-2</v>
      </c>
    </row>
    <row r="33" spans="1:12" x14ac:dyDescent="0.25">
      <c r="A33" t="s">
        <v>46</v>
      </c>
      <c r="B33" s="2" t="s">
        <v>40</v>
      </c>
      <c r="C33" s="43">
        <v>8790</v>
      </c>
      <c r="D33" s="44">
        <v>13288</v>
      </c>
      <c r="E33" s="44">
        <v>9496</v>
      </c>
      <c r="F33" s="45">
        <v>6773</v>
      </c>
      <c r="G33" s="43">
        <v>18520</v>
      </c>
      <c r="H33" s="44">
        <v>10650</v>
      </c>
      <c r="I33" s="44">
        <v>18358</v>
      </c>
      <c r="J33" s="44">
        <v>11105</v>
      </c>
      <c r="K33" s="44">
        <v>10741</v>
      </c>
      <c r="L33" s="45">
        <v>12585</v>
      </c>
    </row>
    <row r="34" spans="1:12" x14ac:dyDescent="0.25">
      <c r="B34" s="2" t="s">
        <v>41</v>
      </c>
      <c r="C34" s="43">
        <v>2384543</v>
      </c>
      <c r="D34" s="44">
        <v>2673309</v>
      </c>
      <c r="E34" s="44">
        <v>2430923</v>
      </c>
      <c r="F34" s="45">
        <v>2855898</v>
      </c>
      <c r="G34" s="43">
        <v>3480978</v>
      </c>
      <c r="H34" s="44">
        <v>3685768</v>
      </c>
      <c r="I34" s="44">
        <v>3296022</v>
      </c>
      <c r="J34" s="44">
        <v>2620351</v>
      </c>
      <c r="K34" s="44">
        <v>2868875</v>
      </c>
      <c r="L34" s="45">
        <v>2562608</v>
      </c>
    </row>
    <row r="35" spans="1:12" ht="15.75" thickBot="1" x14ac:dyDescent="0.3">
      <c r="B35" s="2" t="s">
        <v>42</v>
      </c>
      <c r="C35" s="49">
        <f t="shared" ref="C35:K35" si="11">C33/C34</f>
        <v>3.6862409275068642E-3</v>
      </c>
      <c r="D35" s="50">
        <f t="shared" si="11"/>
        <v>4.9706188098719599E-3</v>
      </c>
      <c r="E35" s="50">
        <f t="shared" si="11"/>
        <v>3.9063351656963216E-3</v>
      </c>
      <c r="F35" s="51">
        <f t="shared" si="11"/>
        <v>2.371583298843306E-3</v>
      </c>
      <c r="G35" s="49">
        <f t="shared" si="11"/>
        <v>5.3203438803692523E-3</v>
      </c>
      <c r="H35" s="50">
        <f t="shared" si="11"/>
        <v>2.8894927732836142E-3</v>
      </c>
      <c r="I35" s="50">
        <f t="shared" si="11"/>
        <v>5.5697443767062232E-3</v>
      </c>
      <c r="J35" s="50">
        <f t="shared" si="11"/>
        <v>4.2379818581556438E-3</v>
      </c>
      <c r="K35" s="50">
        <f t="shared" si="11"/>
        <v>3.7439762973290923E-3</v>
      </c>
      <c r="L35" s="51">
        <f>L33/L34</f>
        <v>4.9110125309840599E-3</v>
      </c>
    </row>
    <row r="36" spans="1:12" ht="15.75" thickBot="1" x14ac:dyDescent="0.3"/>
    <row r="37" spans="1:12" ht="15.75" thickBot="1" x14ac:dyDescent="0.3">
      <c r="A37" t="s">
        <v>15</v>
      </c>
      <c r="B37" s="16">
        <v>0.1</v>
      </c>
      <c r="C37" s="58">
        <f>MAX(ROUND(C15*$B$37/C13,0)*C13,C13)*C17*C7</f>
        <v>2000</v>
      </c>
      <c r="D37" s="59">
        <f>MAX(ROUND(D15*$B$37/D13,0)*D13,D13)*D17*D7</f>
        <v>50000</v>
      </c>
      <c r="E37" s="59">
        <f>MAX(ROUND(E15*$B$37/E13,0)*E13,E13)*E17*E7</f>
        <v>2000</v>
      </c>
      <c r="F37" s="59">
        <f>MAX(ROUND(F15*$B$37/F13,0)*F13,F13)*F17*F7</f>
        <v>50000</v>
      </c>
      <c r="G37" s="59">
        <f>MAX(ROUND(G15*$B$37/G13,0)*G13,G13)*G17*G7</f>
        <v>10000</v>
      </c>
      <c r="H37" s="59">
        <f>MAX(ROUND(H15*$B$37/H13,0)*H13,H13)*H17*H7</f>
        <v>10000</v>
      </c>
      <c r="I37" s="59">
        <f>MAX(ROUND(I15*$B$37/I13,0)*I13,I13)*I17*I7</f>
        <v>10000</v>
      </c>
      <c r="J37" s="59">
        <f>MAX(ROUND(J15*$B$37/J13,0)*J13,J13)*J17*J7</f>
        <v>2000</v>
      </c>
      <c r="K37" s="59">
        <f>MAX(ROUND(K15*$B$37/K13,0)*K13,K13)*K17*K7</f>
        <v>10000</v>
      </c>
      <c r="L37" s="60">
        <f>MAX(ROUND(L15*$B$37/L13,0)*L13,L13)*L17*L7</f>
        <v>4000</v>
      </c>
    </row>
    <row r="38" spans="1:12" x14ac:dyDescent="0.25">
      <c r="B38" s="1" t="s">
        <v>37</v>
      </c>
      <c r="C38" s="92">
        <f>(C37+C37)/C17</f>
        <v>2</v>
      </c>
      <c r="D38" s="92">
        <f>(D37+D37)/D17</f>
        <v>50</v>
      </c>
      <c r="E38" s="92">
        <f>(E37+E37)/E17</f>
        <v>2</v>
      </c>
      <c r="F38" s="92">
        <f>(F37+F37)/F17</f>
        <v>50</v>
      </c>
      <c r="G38" s="92">
        <f>(G37+G37)/G17</f>
        <v>10</v>
      </c>
      <c r="H38" s="92">
        <f>(H37+H37)/H17</f>
        <v>10</v>
      </c>
      <c r="I38" s="92">
        <f>(I37+I37)/I17</f>
        <v>10</v>
      </c>
      <c r="J38" s="92">
        <f>(J37+J37)/J17</f>
        <v>2</v>
      </c>
      <c r="K38" s="92">
        <f>(K37+K37)/K17</f>
        <v>10</v>
      </c>
      <c r="L38" s="92">
        <f>(L37+L37)/L17</f>
        <v>4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28E1A-9839-458C-81EB-5F744254BF94}">
  <dimension ref="B2:M69"/>
  <sheetViews>
    <sheetView workbookViewId="0">
      <selection activeCell="F13" sqref="F13:F17"/>
    </sheetView>
  </sheetViews>
  <sheetFormatPr defaultRowHeight="15" x14ac:dyDescent="0.25"/>
  <sheetData>
    <row r="2" spans="2:13" x14ac:dyDescent="0.25">
      <c r="C2" s="107" t="s">
        <v>24</v>
      </c>
    </row>
    <row r="4" spans="2:13" ht="15.75" thickBot="1" x14ac:dyDescent="0.3">
      <c r="C4" s="96" t="s">
        <v>0</v>
      </c>
      <c r="D4" s="96" t="s">
        <v>3</v>
      </c>
      <c r="E4" s="96" t="s">
        <v>4</v>
      </c>
      <c r="F4" s="96" t="s">
        <v>5</v>
      </c>
      <c r="G4" s="96" t="s">
        <v>9</v>
      </c>
    </row>
    <row r="5" spans="2:13" x14ac:dyDescent="0.25">
      <c r="B5" s="96" t="s">
        <v>49</v>
      </c>
      <c r="C5">
        <v>1.7128462411604763</v>
      </c>
      <c r="D5">
        <v>1.7517720276786191</v>
      </c>
      <c r="E5">
        <v>1.512335699511129</v>
      </c>
      <c r="F5">
        <v>1.7767389162449847</v>
      </c>
      <c r="G5">
        <v>1.6352847994450475</v>
      </c>
      <c r="I5" s="97" t="b">
        <f>IF(AND(C5&gt;=$G$23,C5&lt;=$H$23),TRUE,FALSE)</f>
        <v>1</v>
      </c>
      <c r="J5" s="98" t="b">
        <f t="shared" ref="I5:M9" si="0">IF(AND(D5&gt;=$G$23,D5&lt;=$H$23),TRUE,FALSE)</f>
        <v>1</v>
      </c>
      <c r="K5" s="98" t="b">
        <f t="shared" si="0"/>
        <v>1</v>
      </c>
      <c r="L5" s="98" t="b">
        <f t="shared" si="0"/>
        <v>1</v>
      </c>
      <c r="M5" s="99" t="b">
        <f t="shared" si="0"/>
        <v>1</v>
      </c>
    </row>
    <row r="6" spans="2:13" x14ac:dyDescent="0.25">
      <c r="B6" s="96" t="s">
        <v>50</v>
      </c>
      <c r="C6">
        <v>1.7128462411604763</v>
      </c>
      <c r="D6">
        <v>1.7608989611255226</v>
      </c>
      <c r="E6">
        <v>1.512335699511129</v>
      </c>
      <c r="F6">
        <v>1.7767389162449847</v>
      </c>
      <c r="G6">
        <v>1.6352847994450475</v>
      </c>
      <c r="I6" s="100" t="b">
        <f t="shared" si="0"/>
        <v>1</v>
      </c>
      <c r="J6" s="101" t="b">
        <f t="shared" si="0"/>
        <v>1</v>
      </c>
      <c r="K6" s="101" t="b">
        <f t="shared" si="0"/>
        <v>1</v>
      </c>
      <c r="L6" s="101" t="b">
        <f t="shared" si="0"/>
        <v>1</v>
      </c>
      <c r="M6" s="102" t="b">
        <f t="shared" si="0"/>
        <v>1</v>
      </c>
    </row>
    <row r="7" spans="2:13" x14ac:dyDescent="0.25">
      <c r="B7" s="96" t="s">
        <v>51</v>
      </c>
      <c r="C7">
        <v>1.723765426471729</v>
      </c>
      <c r="D7">
        <v>1.7699201923833283</v>
      </c>
      <c r="E7">
        <v>1.5686432596663444</v>
      </c>
      <c r="F7">
        <v>1.7767389162449847</v>
      </c>
      <c r="G7">
        <v>1.6352847994450475</v>
      </c>
      <c r="I7" s="100" t="b">
        <f t="shared" si="0"/>
        <v>1</v>
      </c>
      <c r="J7" s="101" t="b">
        <f t="shared" si="0"/>
        <v>1</v>
      </c>
      <c r="K7" s="101" t="b">
        <f t="shared" si="0"/>
        <v>1</v>
      </c>
      <c r="L7" s="101" t="b">
        <f t="shared" si="0"/>
        <v>1</v>
      </c>
      <c r="M7" s="102" t="b">
        <f t="shared" si="0"/>
        <v>1</v>
      </c>
    </row>
    <row r="8" spans="2:13" x14ac:dyDescent="0.25">
      <c r="B8" s="96" t="s">
        <v>52</v>
      </c>
      <c r="C8">
        <v>1.723765426471729</v>
      </c>
      <c r="D8">
        <v>1.7882527094154543</v>
      </c>
      <c r="E8">
        <v>1.5686432596663444</v>
      </c>
      <c r="F8">
        <v>1.7767389162449847</v>
      </c>
      <c r="G8">
        <v>1.6690732545412232</v>
      </c>
      <c r="I8" s="100" t="b">
        <f t="shared" si="0"/>
        <v>1</v>
      </c>
      <c r="J8" s="101" t="b">
        <f t="shared" si="0"/>
        <v>1</v>
      </c>
      <c r="K8" s="101" t="b">
        <f t="shared" si="0"/>
        <v>1</v>
      </c>
      <c r="L8" s="101" t="b">
        <f t="shared" si="0"/>
        <v>1</v>
      </c>
      <c r="M8" s="102" t="b">
        <f t="shared" si="0"/>
        <v>1</v>
      </c>
    </row>
    <row r="9" spans="2:13" ht="15.75" thickBot="1" x14ac:dyDescent="0.3">
      <c r="B9" s="96" t="s">
        <v>53</v>
      </c>
      <c r="C9">
        <v>1.7375023107410217</v>
      </c>
      <c r="D9">
        <v>1.8061422137350194</v>
      </c>
      <c r="E9">
        <v>1.6068866857991231</v>
      </c>
      <c r="F9">
        <v>1.7767389162449847</v>
      </c>
      <c r="G9">
        <v>1.6690732545412232</v>
      </c>
      <c r="I9" s="103" t="b">
        <f t="shared" si="0"/>
        <v>1</v>
      </c>
      <c r="J9" s="104" t="b">
        <f t="shared" si="0"/>
        <v>1</v>
      </c>
      <c r="K9" s="104" t="b">
        <f t="shared" si="0"/>
        <v>1</v>
      </c>
      <c r="L9" s="104" t="b">
        <f t="shared" si="0"/>
        <v>1</v>
      </c>
      <c r="M9" s="105" t="b">
        <f t="shared" si="0"/>
        <v>1</v>
      </c>
    </row>
    <row r="10" spans="2:13" x14ac:dyDescent="0.25">
      <c r="C10" s="93">
        <f>AVERAGE(C5:C9)</f>
        <v>1.7221451292010865</v>
      </c>
      <c r="D10" s="93">
        <f t="shared" ref="D10:G10" si="1">AVERAGE(D5:D9)</f>
        <v>1.775397220867589</v>
      </c>
      <c r="E10" s="93">
        <f t="shared" si="1"/>
        <v>1.5537689208308141</v>
      </c>
      <c r="F10" s="93">
        <f t="shared" si="1"/>
        <v>1.7767389162449845</v>
      </c>
      <c r="G10" s="93">
        <f t="shared" si="1"/>
        <v>1.6488001814835176</v>
      </c>
      <c r="H10" s="106">
        <f>AVERAGE(C5:G9)</f>
        <v>1.6953700737255988</v>
      </c>
    </row>
    <row r="11" spans="2:13" x14ac:dyDescent="0.25">
      <c r="C11" s="93">
        <f>STDEV(C5:C9)</f>
        <v>1.0173892924105235E-2</v>
      </c>
      <c r="D11" s="93">
        <f>STDEV(D5:D9)</f>
        <v>2.1845281538610459E-2</v>
      </c>
      <c r="E11" s="93">
        <f>STDEV(E5:E9)</f>
        <v>4.0918860335635146E-2</v>
      </c>
      <c r="F11" s="93">
        <f>STDEV(F5:F9)</f>
        <v>2.4825341532472731E-16</v>
      </c>
      <c r="G11" s="93">
        <f>STDEV(G5:G9)</f>
        <v>1.8506699039425863E-2</v>
      </c>
      <c r="H11" s="94">
        <f>STDEV(C5:G9)</f>
        <v>8.9022279682655581E-2</v>
      </c>
    </row>
    <row r="12" spans="2:13" x14ac:dyDescent="0.25">
      <c r="C12" s="96" t="s">
        <v>0</v>
      </c>
      <c r="D12" s="96" t="s">
        <v>3</v>
      </c>
      <c r="E12" s="96" t="s">
        <v>4</v>
      </c>
      <c r="F12" s="96" t="s">
        <v>5</v>
      </c>
      <c r="G12" s="96" t="s">
        <v>9</v>
      </c>
    </row>
    <row r="13" spans="2:13" x14ac:dyDescent="0.25">
      <c r="B13" s="96" t="s">
        <v>54</v>
      </c>
      <c r="C13" s="89">
        <v>1.7221892668106848</v>
      </c>
      <c r="D13" s="89">
        <v>1.7104311729846053</v>
      </c>
      <c r="E13" s="89">
        <v>1.7158071273443622</v>
      </c>
      <c r="F13" s="89">
        <v>1.7331558706925552</v>
      </c>
      <c r="G13" s="89">
        <v>1.6739307999837378</v>
      </c>
    </row>
    <row r="14" spans="2:13" x14ac:dyDescent="0.25">
      <c r="B14" s="96" t="s">
        <v>55</v>
      </c>
      <c r="C14" s="89">
        <v>1.7221892668106848</v>
      </c>
      <c r="D14" s="89">
        <v>1.7208023223813744</v>
      </c>
      <c r="E14" s="89">
        <v>1.7158071273443622</v>
      </c>
      <c r="F14" s="89">
        <v>1.7331558706925552</v>
      </c>
      <c r="G14" s="89">
        <v>1.6739307999837378</v>
      </c>
    </row>
    <row r="15" spans="2:13" x14ac:dyDescent="0.25">
      <c r="B15" s="96" t="s">
        <v>56</v>
      </c>
      <c r="C15" s="89">
        <v>1.7273676501345649</v>
      </c>
      <c r="D15" s="89">
        <v>1.7235756210532971</v>
      </c>
      <c r="E15" s="89">
        <v>1.7408649239044467</v>
      </c>
      <c r="F15" s="89">
        <v>1.7331558706925552</v>
      </c>
      <c r="G15" s="89">
        <v>1.6739307999837378</v>
      </c>
    </row>
    <row r="16" spans="2:13" x14ac:dyDescent="0.25">
      <c r="B16" s="96" t="s">
        <v>57</v>
      </c>
      <c r="C16" s="89">
        <v>1.7273676501345649</v>
      </c>
      <c r="D16" s="89">
        <v>1.7337678611286895</v>
      </c>
      <c r="E16" s="89">
        <v>1.7408649239044467</v>
      </c>
      <c r="F16" s="89">
        <v>1.7331558706925552</v>
      </c>
      <c r="G16" s="89">
        <v>1.6942788343523105</v>
      </c>
    </row>
    <row r="17" spans="2:13" x14ac:dyDescent="0.25">
      <c r="B17" s="96" t="s">
        <v>58</v>
      </c>
      <c r="C17" s="89">
        <v>1.7316473534353776</v>
      </c>
      <c r="D17" s="89">
        <v>1.7390896588317388</v>
      </c>
      <c r="E17" s="89">
        <v>1.7585877647531984</v>
      </c>
      <c r="F17" s="89">
        <v>1.7331558706925552</v>
      </c>
      <c r="G17" s="89">
        <v>1.6942788343523105</v>
      </c>
    </row>
    <row r="18" spans="2:13" x14ac:dyDescent="0.25">
      <c r="C18" s="93">
        <f>AVERAGE(C13:C17)</f>
        <v>1.7261522374651754</v>
      </c>
      <c r="D18" s="93">
        <f>AVERAGE(D13:D17)</f>
        <v>1.7255333272759412</v>
      </c>
      <c r="E18" s="93">
        <f>AVERAGE(E13:E17)</f>
        <v>1.7343863734501632</v>
      </c>
      <c r="F18" s="93">
        <f>AVERAGE(F13:F17)</f>
        <v>1.7331558706925552</v>
      </c>
      <c r="G18" s="93">
        <f>AVERAGE(G13:G17)</f>
        <v>1.6820700137311668</v>
      </c>
      <c r="H18" s="95">
        <f>AVERAGE(C13:G17)</f>
        <v>1.7202595645230003</v>
      </c>
    </row>
    <row r="19" spans="2:13" x14ac:dyDescent="0.25">
      <c r="C19" s="93">
        <f>STDEV(C13:C17)</f>
        <v>4.0174938785424025E-3</v>
      </c>
      <c r="D19" s="93">
        <f>STDEV(D13:D17)</f>
        <v>1.1245796528355395E-2</v>
      </c>
      <c r="E19" s="93">
        <f>STDEV(E13:E17)</f>
        <v>1.8439274285474629E-2</v>
      </c>
      <c r="F19" s="93">
        <f>STDEV(F13:F17)</f>
        <v>0</v>
      </c>
      <c r="G19" s="93">
        <f>STDEV(G13:G17)</f>
        <v>1.1145077424557651E-2</v>
      </c>
      <c r="H19" s="93">
        <f>STDEV(C13:G17)</f>
        <v>2.2231366859967235E-2</v>
      </c>
    </row>
    <row r="20" spans="2:13" x14ac:dyDescent="0.25">
      <c r="H20" s="106">
        <f>AVERAGE(C13:G17,C5:G9)</f>
        <v>1.7078148191242988</v>
      </c>
    </row>
    <row r="21" spans="2:13" x14ac:dyDescent="0.25">
      <c r="H21" s="94">
        <f>STDEV(C13:G17,C5:G9)</f>
        <v>6.5434869200735393E-2</v>
      </c>
    </row>
    <row r="23" spans="2:13" x14ac:dyDescent="0.25">
      <c r="E23" s="94">
        <f>H21*3</f>
        <v>0.19630460760220619</v>
      </c>
      <c r="F23" s="1" t="s">
        <v>59</v>
      </c>
      <c r="G23" s="94">
        <f>H20-3*H21</f>
        <v>1.5115102115220926</v>
      </c>
      <c r="H23" s="94">
        <f>H20+3*H21</f>
        <v>1.9041194267265049</v>
      </c>
    </row>
    <row r="24" spans="2:13" x14ac:dyDescent="0.25">
      <c r="F24" s="1"/>
      <c r="G24" s="93"/>
      <c r="H24" s="93"/>
    </row>
    <row r="25" spans="2:13" x14ac:dyDescent="0.25">
      <c r="C25" s="107" t="s">
        <v>25</v>
      </c>
    </row>
    <row r="27" spans="2:13" ht="15.75" thickBot="1" x14ac:dyDescent="0.3">
      <c r="C27" s="96" t="s">
        <v>6</v>
      </c>
      <c r="D27" s="96" t="s">
        <v>7</v>
      </c>
      <c r="E27" s="96" t="s">
        <v>8</v>
      </c>
      <c r="F27" s="96"/>
      <c r="G27" s="96"/>
    </row>
    <row r="28" spans="2:13" x14ac:dyDescent="0.25">
      <c r="B28" s="96" t="s">
        <v>49</v>
      </c>
      <c r="C28" s="108">
        <v>1.7007732019317074</v>
      </c>
      <c r="D28" s="108">
        <v>1.706797239506201</v>
      </c>
      <c r="E28" s="108">
        <v>1.7301703954717618</v>
      </c>
      <c r="I28" s="97" t="b">
        <f>IF(AND(C28&gt;=$G$46,C28&lt;=$H$46),TRUE,FALSE)</f>
        <v>1</v>
      </c>
      <c r="J28" s="98" t="b">
        <f>IF(AND(D28&gt;=$G$46,D28&lt;=$H$46),TRUE,FALSE)</f>
        <v>1</v>
      </c>
      <c r="K28" s="98" t="b">
        <f>IF(AND(E28&gt;=$G$46,E28&lt;=$H$46),TRUE,FALSE)</f>
        <v>1</v>
      </c>
      <c r="L28" s="98"/>
      <c r="M28" s="99"/>
    </row>
    <row r="29" spans="2:13" x14ac:dyDescent="0.25">
      <c r="B29" s="96" t="s">
        <v>50</v>
      </c>
      <c r="C29" s="108">
        <v>1.7007732019317074</v>
      </c>
      <c r="D29" s="108">
        <v>1.706797239506201</v>
      </c>
      <c r="E29" s="108">
        <v>1.7301703954717618</v>
      </c>
      <c r="I29" s="100" t="b">
        <f>IF(AND(C29&gt;=$G$46,C29&lt;=$H$46),TRUE,FALSE)</f>
        <v>1</v>
      </c>
      <c r="J29" s="101" t="b">
        <f t="shared" ref="J29:J32" si="2">IF(AND(D29&gt;=$G$46,D29&lt;=$H$46),TRUE,FALSE)</f>
        <v>1</v>
      </c>
      <c r="K29" s="101" t="b">
        <f t="shared" ref="K29:K32" si="3">IF(AND(E29&gt;=$G$46,E29&lt;=$H$46),TRUE,FALSE)</f>
        <v>1</v>
      </c>
      <c r="L29" s="101"/>
      <c r="M29" s="102"/>
    </row>
    <row r="30" spans="2:13" x14ac:dyDescent="0.25">
      <c r="B30" s="96" t="s">
        <v>51</v>
      </c>
      <c r="C30" s="108">
        <v>1.7295412740195937</v>
      </c>
      <c r="D30" s="108">
        <v>1.7196248640666179</v>
      </c>
      <c r="E30" s="108">
        <v>1.7467702318197416</v>
      </c>
      <c r="I30" s="100" t="b">
        <f>IF(AND(C30&gt;=$G$46,C30&lt;=$H$46),TRUE,FALSE)</f>
        <v>1</v>
      </c>
      <c r="J30" s="101" t="b">
        <f t="shared" si="2"/>
        <v>1</v>
      </c>
      <c r="K30" s="101" t="b">
        <f t="shared" si="3"/>
        <v>1</v>
      </c>
      <c r="L30" s="101"/>
      <c r="M30" s="102"/>
    </row>
    <row r="31" spans="2:13" x14ac:dyDescent="0.25">
      <c r="B31" s="96" t="s">
        <v>52</v>
      </c>
      <c r="C31" s="108">
        <v>1.7295412740195937</v>
      </c>
      <c r="D31" s="108">
        <v>1.7332685396630396</v>
      </c>
      <c r="E31" s="108">
        <v>1.7467702318197416</v>
      </c>
      <c r="I31" s="100" t="b">
        <f>IF(AND(C31&gt;=$G$46,C31&lt;=$H$46),TRUE,FALSE)</f>
        <v>1</v>
      </c>
      <c r="J31" s="101" t="b">
        <f t="shared" si="2"/>
        <v>1</v>
      </c>
      <c r="K31" s="101" t="b">
        <f t="shared" si="3"/>
        <v>1</v>
      </c>
      <c r="L31" s="101"/>
      <c r="M31" s="102"/>
    </row>
    <row r="32" spans="2:13" ht="15.75" thickBot="1" x14ac:dyDescent="0.3">
      <c r="B32" s="96" t="s">
        <v>53</v>
      </c>
      <c r="C32" s="108">
        <v>1.7509119659826551</v>
      </c>
      <c r="D32" s="108">
        <v>1.7332685396630396</v>
      </c>
      <c r="E32" s="108">
        <v>1.768799116951522</v>
      </c>
      <c r="I32" s="103" t="b">
        <f>IF(AND(C32&gt;=$G$46,C32&lt;=$H$46),TRUE,FALSE)</f>
        <v>1</v>
      </c>
      <c r="J32" s="104" t="b">
        <f t="shared" si="2"/>
        <v>1</v>
      </c>
      <c r="K32" s="104" t="b">
        <f t="shared" si="3"/>
        <v>1</v>
      </c>
      <c r="L32" s="104"/>
      <c r="M32" s="105"/>
    </row>
    <row r="33" spans="2:8" x14ac:dyDescent="0.25">
      <c r="C33" s="93">
        <f>AVERAGE(C28:C32)</f>
        <v>1.7223081835770515</v>
      </c>
      <c r="D33" s="93">
        <f t="shared" ref="D33:E33" si="4">AVERAGE(D28:D32)</f>
        <v>1.7199512844810196</v>
      </c>
      <c r="E33" s="93">
        <f t="shared" si="4"/>
        <v>1.744536074306906</v>
      </c>
      <c r="F33" s="93"/>
      <c r="G33" s="93"/>
      <c r="H33" s="106">
        <f>AVERAGE(C28:G32)</f>
        <v>1.7289318474549924</v>
      </c>
    </row>
    <row r="34" spans="2:8" x14ac:dyDescent="0.25">
      <c r="C34" s="93">
        <f>STDEV(C28:C32)</f>
        <v>2.1507687181201735E-2</v>
      </c>
      <c r="D34" s="93">
        <f>STDEV(D28:D32)</f>
        <v>1.3236907870157194E-2</v>
      </c>
      <c r="E34" s="93">
        <f>STDEV(E28:E32)</f>
        <v>1.5901443446648147E-2</v>
      </c>
      <c r="F34" s="93"/>
      <c r="G34" s="93"/>
      <c r="H34" s="94">
        <f>STDEV(C28:G32)</f>
        <v>1.9644493261207242E-2</v>
      </c>
    </row>
    <row r="35" spans="2:8" x14ac:dyDescent="0.25">
      <c r="C35" s="96" t="s">
        <v>6</v>
      </c>
      <c r="D35" s="96" t="s">
        <v>7</v>
      </c>
      <c r="E35" s="96" t="s">
        <v>8</v>
      </c>
      <c r="F35" s="96"/>
      <c r="G35" s="96"/>
    </row>
    <row r="36" spans="2:8" x14ac:dyDescent="0.25">
      <c r="B36" s="96" t="s">
        <v>54</v>
      </c>
      <c r="C36" s="108">
        <v>1.7889093678284322</v>
      </c>
      <c r="D36" s="108">
        <v>1.6625378365719738</v>
      </c>
      <c r="E36" s="108">
        <v>1.7118317392668287</v>
      </c>
    </row>
    <row r="37" spans="2:8" x14ac:dyDescent="0.25">
      <c r="B37" s="96" t="s">
        <v>55</v>
      </c>
      <c r="C37" s="108">
        <v>1.7889093678284322</v>
      </c>
      <c r="D37" s="108">
        <v>1.6625378365719738</v>
      </c>
      <c r="E37" s="108">
        <v>1.7118317392668287</v>
      </c>
    </row>
    <row r="38" spans="2:8" x14ac:dyDescent="0.25">
      <c r="B38" s="96" t="s">
        <v>56</v>
      </c>
      <c r="C38" s="108">
        <v>1.8003866544458682</v>
      </c>
      <c r="D38" s="108">
        <v>1.6660751604180934</v>
      </c>
      <c r="E38" s="108">
        <v>1.7214495173344277</v>
      </c>
    </row>
    <row r="39" spans="2:8" x14ac:dyDescent="0.25">
      <c r="B39" s="96" t="s">
        <v>57</v>
      </c>
      <c r="C39" s="108">
        <v>1.8003866544458682</v>
      </c>
      <c r="D39" s="108">
        <v>1.6697076972502147</v>
      </c>
      <c r="E39" s="108">
        <v>1.7214495173344277</v>
      </c>
    </row>
    <row r="40" spans="2:8" x14ac:dyDescent="0.25">
      <c r="B40" s="96" t="s">
        <v>58</v>
      </c>
      <c r="C40" s="108">
        <v>1.8115117920893564</v>
      </c>
      <c r="D40" s="108">
        <v>1.6697076972502147</v>
      </c>
      <c r="E40" s="108">
        <v>1.7316990530489953</v>
      </c>
    </row>
    <row r="41" spans="2:8" x14ac:dyDescent="0.25">
      <c r="C41" s="93">
        <f>AVERAGE(C36:C40)</f>
        <v>1.7980207673275916</v>
      </c>
      <c r="D41" s="93">
        <f t="shared" ref="D41:E41" si="5">AVERAGE(D36:D40)</f>
        <v>1.6661132456124939</v>
      </c>
      <c r="E41" s="93">
        <f t="shared" si="5"/>
        <v>1.7196523132503017</v>
      </c>
      <c r="F41" s="93"/>
      <c r="G41" s="93"/>
      <c r="H41" s="95">
        <f>AVERAGE(C36:G40)</f>
        <v>1.7279287753967956</v>
      </c>
    </row>
    <row r="42" spans="2:8" x14ac:dyDescent="0.25">
      <c r="C42" s="93">
        <f>STDEV(C36:C40)</f>
        <v>9.4767847198030299E-3</v>
      </c>
      <c r="D42" s="93">
        <f>STDEV(D36:D40)</f>
        <v>3.5849935581506089E-3</v>
      </c>
      <c r="E42" s="93">
        <f>STDEV(E36:E40)</f>
        <v>8.2750616263471861E-3</v>
      </c>
      <c r="F42" s="93"/>
      <c r="G42" s="93"/>
      <c r="H42" s="93">
        <f>STDEV(C36:G40)</f>
        <v>5.6503658221926593E-2</v>
      </c>
    </row>
    <row r="43" spans="2:8" x14ac:dyDescent="0.25">
      <c r="H43" s="106">
        <f>AVERAGE(C36:G40,C28:G32)</f>
        <v>1.7284303114258934</v>
      </c>
    </row>
    <row r="44" spans="2:8" x14ac:dyDescent="0.25">
      <c r="H44" s="94">
        <f>STDEV(C36:G40,C28:G32)</f>
        <v>4.1567360895611034E-2</v>
      </c>
    </row>
    <row r="46" spans="2:8" x14ac:dyDescent="0.25">
      <c r="E46" s="94">
        <f>H44*3</f>
        <v>0.12470208268683311</v>
      </c>
      <c r="F46" s="1" t="s">
        <v>59</v>
      </c>
      <c r="G46" s="94">
        <f>H43-3*H44</f>
        <v>1.6037282287390604</v>
      </c>
      <c r="H46" s="94">
        <f>H43+3*H44</f>
        <v>1.8531323941127265</v>
      </c>
    </row>
    <row r="48" spans="2:8" x14ac:dyDescent="0.25">
      <c r="C48" s="107" t="s">
        <v>26</v>
      </c>
    </row>
    <row r="50" spans="2:13" ht="15.75" thickBot="1" x14ac:dyDescent="0.3">
      <c r="C50" s="96" t="s">
        <v>12</v>
      </c>
      <c r="D50" s="96" t="s">
        <v>10</v>
      </c>
      <c r="E50" s="96"/>
      <c r="F50" s="96"/>
      <c r="G50" s="96"/>
    </row>
    <row r="51" spans="2:13" x14ac:dyDescent="0.25">
      <c r="B51" s="96" t="s">
        <v>49</v>
      </c>
      <c r="C51" s="108">
        <v>1.4925627895636289</v>
      </c>
      <c r="D51" s="108">
        <v>0.98676921425225605</v>
      </c>
      <c r="E51" s="108"/>
      <c r="I51" s="97" t="b">
        <f>IF(AND(C51&gt;=$G$69,C51&lt;=$H$69),TRUE,FALSE)</f>
        <v>1</v>
      </c>
      <c r="J51" s="98" t="b">
        <f>IF(AND(D51&gt;=$G$69,D51&lt;=$H$69),TRUE,FALSE)</f>
        <v>1</v>
      </c>
      <c r="K51" s="98"/>
      <c r="L51" s="98"/>
      <c r="M51" s="99"/>
    </row>
    <row r="52" spans="2:13" x14ac:dyDescent="0.25">
      <c r="B52" s="96" t="s">
        <v>50</v>
      </c>
      <c r="C52" s="108">
        <v>1.4925627895636289</v>
      </c>
      <c r="D52" s="108">
        <v>1.0987412145387245</v>
      </c>
      <c r="E52" s="108"/>
      <c r="I52" s="100" t="b">
        <f t="shared" ref="I52:I55" si="6">IF(AND(C52&gt;=$G$69,C52&lt;=$H$69),TRUE,FALSE)</f>
        <v>1</v>
      </c>
      <c r="J52" s="101" t="b">
        <f t="shared" ref="J52:J55" si="7">IF(AND(D52&gt;=$G$69,D52&lt;=$H$69),TRUE,FALSE)</f>
        <v>1</v>
      </c>
      <c r="K52" s="101"/>
      <c r="L52" s="101"/>
      <c r="M52" s="102"/>
    </row>
    <row r="53" spans="2:13" x14ac:dyDescent="0.25">
      <c r="B53" s="96" t="s">
        <v>51</v>
      </c>
      <c r="C53" s="108">
        <v>1.4925627895636289</v>
      </c>
      <c r="D53" s="108">
        <v>1.2606693477159894</v>
      </c>
      <c r="E53" s="108"/>
      <c r="I53" s="100" t="b">
        <f t="shared" si="6"/>
        <v>1</v>
      </c>
      <c r="J53" s="101" t="b">
        <f t="shared" si="7"/>
        <v>1</v>
      </c>
      <c r="K53" s="101"/>
      <c r="L53" s="101"/>
      <c r="M53" s="102"/>
    </row>
    <row r="54" spans="2:13" x14ac:dyDescent="0.25">
      <c r="B54" s="96" t="s">
        <v>52</v>
      </c>
      <c r="C54" s="108">
        <v>1.4925627895636289</v>
      </c>
      <c r="D54" s="108">
        <v>1.3230634611628562</v>
      </c>
      <c r="E54" s="108"/>
      <c r="I54" s="100" t="b">
        <f t="shared" si="6"/>
        <v>1</v>
      </c>
      <c r="J54" s="101" t="b">
        <f t="shared" si="7"/>
        <v>1</v>
      </c>
      <c r="K54" s="101"/>
      <c r="L54" s="101"/>
      <c r="M54" s="102"/>
    </row>
    <row r="55" spans="2:13" ht="15.75" thickBot="1" x14ac:dyDescent="0.3">
      <c r="B55" s="96" t="s">
        <v>53</v>
      </c>
      <c r="C55" s="108">
        <v>1.4925627895636289</v>
      </c>
      <c r="D55" s="108">
        <v>1.4261477531369817</v>
      </c>
      <c r="E55" s="108"/>
      <c r="I55" s="103" t="b">
        <f t="shared" si="6"/>
        <v>1</v>
      </c>
      <c r="J55" s="104" t="b">
        <f t="shared" si="7"/>
        <v>1</v>
      </c>
      <c r="K55" s="104"/>
      <c r="L55" s="104"/>
      <c r="M55" s="105"/>
    </row>
    <row r="56" spans="2:13" x14ac:dyDescent="0.25">
      <c r="C56" s="93">
        <f>AVERAGE(C51:C55)</f>
        <v>1.4925627895636289</v>
      </c>
      <c r="D56" s="93">
        <f t="shared" ref="D56" si="8">AVERAGE(D51:D55)</f>
        <v>1.2190781981613616</v>
      </c>
      <c r="E56" s="93"/>
      <c r="F56" s="93"/>
      <c r="G56" s="93"/>
      <c r="H56" s="106">
        <f>AVERAGE(C51:G55)</f>
        <v>1.3558204938624954</v>
      </c>
    </row>
    <row r="57" spans="2:13" x14ac:dyDescent="0.25">
      <c r="C57" s="93">
        <f>STDEV(C51:C55)</f>
        <v>0</v>
      </c>
      <c r="D57" s="93">
        <f>STDEV(D51:D55)</f>
        <v>0.17597514943369302</v>
      </c>
      <c r="E57" s="93"/>
      <c r="F57" s="93"/>
      <c r="G57" s="93"/>
      <c r="H57" s="110">
        <f>STDEV(C51:G55)</f>
        <v>0.18584747844790522</v>
      </c>
    </row>
    <row r="58" spans="2:13" x14ac:dyDescent="0.25">
      <c r="C58" s="96" t="s">
        <v>12</v>
      </c>
      <c r="D58" s="96" t="s">
        <v>10</v>
      </c>
      <c r="E58" s="96"/>
      <c r="F58" s="96"/>
      <c r="G58" s="96"/>
    </row>
    <row r="59" spans="2:13" x14ac:dyDescent="0.25">
      <c r="B59" s="96" t="s">
        <v>54</v>
      </c>
      <c r="C59" s="108">
        <v>1.6492124376937689</v>
      </c>
      <c r="D59" s="108">
        <v>1.3060125706102974</v>
      </c>
      <c r="E59" s="108"/>
    </row>
    <row r="60" spans="2:13" x14ac:dyDescent="0.25">
      <c r="B60" s="96" t="s">
        <v>55</v>
      </c>
      <c r="C60" s="108">
        <v>1.6492124376937689</v>
      </c>
      <c r="D60" s="108">
        <v>1.3685433692139917</v>
      </c>
      <c r="E60" s="108"/>
    </row>
    <row r="61" spans="2:13" x14ac:dyDescent="0.25">
      <c r="B61" s="96" t="s">
        <v>56</v>
      </c>
      <c r="C61" s="108">
        <v>1.6492124376937689</v>
      </c>
      <c r="D61" s="108">
        <v>1.4521052503327578</v>
      </c>
      <c r="E61" s="108"/>
    </row>
    <row r="62" spans="2:13" x14ac:dyDescent="0.25">
      <c r="B62" s="96" t="s">
        <v>57</v>
      </c>
      <c r="C62" s="108">
        <v>1.6492124376937689</v>
      </c>
      <c r="D62" s="108">
        <v>1.4854197070760824</v>
      </c>
      <c r="E62" s="108"/>
    </row>
    <row r="63" spans="2:13" x14ac:dyDescent="0.25">
      <c r="B63" s="96" t="s">
        <v>58</v>
      </c>
      <c r="C63" s="108">
        <v>1.6492124376937689</v>
      </c>
      <c r="D63" s="108">
        <v>1.528216727776561</v>
      </c>
      <c r="E63" s="108"/>
    </row>
    <row r="64" spans="2:13" x14ac:dyDescent="0.25">
      <c r="C64" s="93">
        <f>AVERAGE(C59:C63)</f>
        <v>1.6492124376937689</v>
      </c>
      <c r="D64" s="93">
        <f t="shared" ref="D64" si="9">AVERAGE(D59:D63)</f>
        <v>1.4280595250019381</v>
      </c>
      <c r="E64" s="93"/>
      <c r="F64" s="93"/>
      <c r="G64" s="93"/>
      <c r="H64" s="95">
        <f>AVERAGE(C59:G63)</f>
        <v>1.5386359813478536</v>
      </c>
    </row>
    <row r="65" spans="3:8" x14ac:dyDescent="0.25">
      <c r="C65" s="93">
        <f>STDEV(C59:C63)</f>
        <v>0</v>
      </c>
      <c r="D65" s="93">
        <f>STDEV(D59:D63)</f>
        <v>8.991313104595941E-2</v>
      </c>
      <c r="E65" s="93"/>
      <c r="F65" s="93"/>
      <c r="G65" s="93"/>
      <c r="H65" s="93">
        <f>STDEV(C59:G63)</f>
        <v>0.13106784143172778</v>
      </c>
    </row>
    <row r="66" spans="3:8" x14ac:dyDescent="0.25">
      <c r="H66" s="106">
        <f>AVERAGE(C59:G63,C51:G55)</f>
        <v>1.4472282376051742</v>
      </c>
    </row>
    <row r="67" spans="3:8" x14ac:dyDescent="0.25">
      <c r="H67" s="110">
        <f>STDEV(C59:G63,C51:G55)</f>
        <v>0.18246414082451129</v>
      </c>
    </row>
    <row r="69" spans="3:8" x14ac:dyDescent="0.25">
      <c r="E69" s="94">
        <f>H67*3</f>
        <v>0.54739242247353381</v>
      </c>
      <c r="F69" s="1" t="s">
        <v>59</v>
      </c>
      <c r="G69" s="109">
        <f>H66-3*H67</f>
        <v>0.89983581513164035</v>
      </c>
      <c r="H69" s="109">
        <f>H66+3*H67</f>
        <v>1.994620660078708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Tau</vt:lpstr>
      <vt:lpstr>Calcs</vt:lpstr>
      <vt:lpstr>20,0.1</vt:lpstr>
      <vt:lpstr>20,0.2</vt:lpstr>
      <vt:lpstr>20,0.3</vt:lpstr>
      <vt:lpstr>20,0.4</vt:lpstr>
      <vt:lpstr>20,0.5</vt:lpstr>
      <vt:lpstr>37,0.1</vt:lpstr>
      <vt:lpstr>37,0.2</vt:lpstr>
      <vt:lpstr>37,0.3</vt:lpstr>
      <vt:lpstr>37,0.4</vt:lpstr>
      <vt:lpstr>37,0.5</vt:lpstr>
      <vt:lpstr>Uncertainty</vt:lpstr>
    </vt:vector>
  </TitlesOfParts>
  <Company>DASSAULT SYSTEMES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CHEKHLOV Alexei</dc:creator>
  <cp:lastModifiedBy>CHEKHLOV Alexei</cp:lastModifiedBy>
  <dcterms:created xsi:type="dcterms:W3CDTF">2022-04-15T00:45:34Z</dcterms:created>
  <dcterms:modified xsi:type="dcterms:W3CDTF">2026-01-15T22:10:35Z</dcterms:modified>
</cp:coreProperties>
</file>